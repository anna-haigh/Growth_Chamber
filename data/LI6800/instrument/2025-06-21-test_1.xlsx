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<sst xmlns="http://schemas.openxmlformats.org/spreadsheetml/2006/main" count="787" uniqueCount="368">
  <si>
    <t>File opened</t>
  </si>
  <si>
    <t>2025-06-21 12:26:00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</si>
  <si>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</si>
  <si>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</si>
  <si>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</si>
  <si>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</si>
  <si>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</si>
  <si>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</si>
  <si>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</si>
  <si>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</si>
  <si>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</si>
  <si>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</si>
  <si>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</si>
  <si>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</si>
  <si>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</si>
  <si>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</si>
  <si>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</si>
  <si>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</si>
  <si>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</si>
  <si>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</si>
  <si>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</si>
  <si>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</si>
  <si>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</si>
  <si>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</si>
  <si>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</si>
  <si>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</si>
  <si>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</si>
  <si>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</si>
  <si>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</si>
  <si>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12:26:00</t>
  </si>
  <si>
    <t>Stability Definition:	ΔCO2 (Meas2): Slp&lt;0.1 Per=20	ΔH2O (Meas2): Slp&lt;0.1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</si>
  <si>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</si>
  <si>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</si>
  <si>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</si>
  <si>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</si>
  <si>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</si>
  <si>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</si>
  <si>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</si>
  <si>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</si>
  <si>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</si>
  <si>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</si>
  <si>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</si>
  <si>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</si>
  <si>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</si>
  <si>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</si>
  <si>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</si>
  <si>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</si>
  <si>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</si>
  <si>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</si>
  <si>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</si>
  <si>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</si>
  <si>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</si>
  <si>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</si>
  <si>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</si>
  <si>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</si>
  <si>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</si>
  <si>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</si>
  <si>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</si>
  <si>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</si>
  <si>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</si>
  <si>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</si>
  <si>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</si>
  <si>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</si>
  <si>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</si>
  <si>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</si>
  <si>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</si>
  <si>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</si>
  <si>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</si>
  <si>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</si>
  <si>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</si>
  <si>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</si>
  <si>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</si>
  <si>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</si>
  <si>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</si>
  <si>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</si>
  <si>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</si>
  <si>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</si>
  <si>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</si>
  <si>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</si>
  <si>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</si>
  <si>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</si>
  <si>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</si>
  <si>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</si>
  <si>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1.80337 193.36 348.54 558.888 836.767 1051.31 1231.17 1380.93</t>
  </si>
  <si>
    <t>Fs_true</t>
  </si>
  <si>
    <t>-0.632612 222.208 386.715 583.561 811.357 1001.6 1201.37 1401.24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</si>
  <si>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</si>
  <si>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</si>
  <si>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</si>
  <si>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</si>
  <si>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</si>
  <si>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</si>
  <si>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</si>
  <si>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</si>
  <si>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</si>
  <si>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</si>
  <si>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</si>
  <si>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</si>
  <si>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</si>
  <si>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</si>
  <si>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</si>
  <si>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</si>
  <si>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</si>
  <si>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</si>
  <si>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</si>
  <si>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</si>
  <si>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</si>
  <si>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</si>
  <si>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</si>
  <si>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</si>
  <si>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</si>
  <si>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</si>
  <si>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</si>
  <si>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</si>
  <si>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</si>
  <si>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</si>
  <si>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</si>
  <si>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</si>
  <si>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</si>
  <si>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</si>
  <si>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</si>
  <si>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</si>
  <si>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</si>
  <si>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</si>
  <si>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</si>
  <si>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</si>
  <si>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</si>
  <si>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</si>
  <si>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</si>
  <si>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</si>
  <si>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</si>
  <si>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</si>
  <si>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</si>
  <si>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</si>
  <si>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</si>
  <si>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</si>
  <si>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</si>
  <si>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</si>
  <si>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</si>
  <si>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</si>
  <si>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</si>
  <si>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</si>
  <si>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</si>
  <si>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</si>
  <si>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</si>
  <si>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</si>
  <si>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</si>
  <si>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</si>
  <si>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</si>
  <si>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</si>
  <si>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</si>
  <si>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</si>
  <si>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</si>
  <si>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</si>
  <si>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</si>
  <si>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</si>
  <si>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</si>
  <si>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</si>
  <si>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</si>
  <si>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</si>
  <si>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</si>
  <si>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</si>
  <si>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</si>
  <si>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</si>
  <si>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</si>
  <si>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</si>
  <si>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</si>
  <si>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</si>
  <si>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</si>
  <si>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</si>
  <si>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</si>
  <si>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</si>
  <si>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</si>
  <si>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</si>
  <si>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</si>
  <si>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</si>
  <si>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</si>
  <si>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</si>
  <si>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</si>
  <si>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</si>
  <si>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</si>
  <si>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</si>
  <si>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</si>
  <si>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</si>
  <si>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</si>
  <si>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</si>
  <si>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</si>
  <si>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</si>
  <si>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</si>
  <si>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</si>
  <si>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</si>
  <si>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</si>
  <si>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</si>
  <si>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</si>
  <si>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</si>
  <si>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</si>
  <si>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</si>
  <si>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</si>
  <si>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</si>
  <si>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</si>
  <si>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</si>
  <si>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</si>
  <si>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</si>
  <si>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</si>
  <si>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</si>
  <si>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</si>
  <si>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</si>
  <si>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</si>
  <si>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</si>
  <si>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</si>
  <si>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</si>
  <si>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</si>
  <si>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</si>
  <si>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</si>
  <si>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</si>
  <si>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</si>
  <si>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</si>
  <si>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</si>
  <si>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</si>
  <si>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</si>
  <si>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</si>
  <si>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</si>
  <si>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</si>
  <si>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</si>
  <si>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</si>
  <si>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</si>
  <si>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</si>
  <si>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</si>
  <si>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</si>
  <si>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</si>
  <si>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</si>
  <si>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</si>
  <si>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</si>
  <si>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</si>
  <si>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</si>
  <si>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</si>
  <si>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</si>
  <si>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</si>
  <si>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</si>
  <si>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</si>
  <si>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</si>
  <si>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</si>
  <si>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</si>
  <si>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</si>
  <si>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</si>
  <si>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</si>
  <si>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</si>
  <si>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</si>
  <si>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</si>
  <si>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</si>
  <si>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</si>
  <si>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</si>
  <si>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</si>
  <si>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</si>
  <si>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</si>
  <si>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</si>
  <si>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</si>
  <si>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</si>
  <si>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</si>
  <si>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</si>
  <si>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</si>
  <si>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</si>
  <si>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</si>
  <si>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</si>
  <si>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</si>
  <si>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</si>
  <si>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</si>
  <si>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</si>
  <si>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</si>
  <si>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</si>
  <si>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</si>
  <si>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</si>
  <si>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</si>
  <si>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</si>
  <si>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</si>
  <si>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</si>
  <si>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</si>
  <si>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</si>
  <si>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</si>
  <si>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</si>
  <si>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</si>
  <si>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</si>
  <si>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</si>
  <si>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</si>
  <si>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</si>
  <si>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</si>
  <si>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</si>
  <si>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</si>
  <si>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</si>
  <si>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</si>
  <si>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</si>
  <si>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</si>
  <si>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</si>
  <si>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</si>
  <si>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</si>
  <si>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</si>
  <si>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</si>
  <si>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</si>
  <si>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</si>
  <si>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</si>
  <si>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</si>
  <si>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</si>
  <si>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</si>
  <si>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</si>
  <si>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</si>
  <si>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</si>
  <si>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</si>
  <si>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</si>
  <si>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</si>
  <si>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</si>
  <si>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</si>
  <si>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</si>
  <si>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</si>
  <si>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</si>
  <si>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</si>
  <si>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</si>
  <si>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</si>
  <si>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</si>
  <si>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</si>
  <si>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</si>
  <si>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</si>
  <si>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</si>
  <si>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</si>
  <si>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</si>
  <si>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</si>
  <si>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</si>
  <si>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</si>
  <si>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</si>
  <si>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</si>
  <si>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</si>
  <si>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</si>
  <si>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</si>
  <si>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</si>
  <si>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</si>
  <si>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</si>
  <si>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</si>
  <si>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</si>
  <si>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</si>
  <si>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</si>
  <si>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</si>
  <si>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</si>
  <si>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</si>
  <si>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</si>
  <si>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</si>
  <si>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</si>
  <si>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</si>
  <si>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</si>
  <si>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</si>
  <si>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</si>
  <si>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</si>
  <si>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</si>
  <si>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20250622 12:37:25</t>
  </si>
  <si>
    <t>12:37:25</t>
  </si>
  <si>
    <t>1: Needles</t>
  </si>
  <si>
    <t>12:37:45</t>
  </si>
  <si>
    <t>1/2</t>
  </si>
  <si>
    <t>11111111</t>
  </si>
  <si>
    <t>oooooooo</t>
  </si>
  <si>
    <t>on</t>
  </si>
  <si>
    <t>20250622 12:39:49</t>
  </si>
  <si>
    <t>12:39:49</t>
  </si>
  <si>
    <t>12:40:06</t>
  </si>
  <si>
    <t>20250622 12:42:41</t>
  </si>
  <si>
    <t>12:42:41</t>
  </si>
  <si>
    <t>12:42:58</t>
  </si>
  <si>
    <t>20250622 12:47:23</t>
  </si>
  <si>
    <t>12:47:23</t>
  </si>
  <si>
    <t>12:47:46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</si>
</sst>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P20"/>
  <sheetViews>
    <sheetView tabSelected="1" workbookViewId="0"/>
  </sheetViews>
  <sheetFormatPr defaultRowHeight="15"/>
  <sheetData>
    <row r="2" spans="1:224">
      <c r="A2" t="s">
        <v>31</v>
      </c>
      <c r="B2" t="s">
        <v>32</v>
      </c>
      <c r="C2" t="s">
        <v>34</v>
      </c>
    </row>
    <row r="3" spans="1:224">
      <c r="B3" t="s">
        <v>33</v>
      </c>
      <c r="C3">
        <v>21</v>
      </c>
    </row>
    <row r="4" spans="1:224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4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4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4">
      <c r="B7">
        <v>0</v>
      </c>
      <c r="C7">
        <v>1</v>
      </c>
      <c r="D7">
        <v>0</v>
      </c>
      <c r="E7">
        <v>0</v>
      </c>
    </row>
    <row r="8" spans="1:224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24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4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24">
      <c r="B11">
        <v>0</v>
      </c>
      <c r="C11">
        <v>0</v>
      </c>
      <c r="D11">
        <v>0</v>
      </c>
      <c r="E11">
        <v>0</v>
      </c>
      <c r="F11">
        <v>1</v>
      </c>
    </row>
    <row r="12" spans="1:224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24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24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</row>
    <row r="15" spans="1:224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90</v>
      </c>
      <c r="AR15" t="s">
        <v>146</v>
      </c>
      <c r="AS15" t="s">
        <v>147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110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105</v>
      </c>
      <c r="CZ15" t="s">
        <v>108</v>
      </c>
      <c r="DA15" t="s">
        <v>204</v>
      </c>
      <c r="DB15" t="s">
        <v>205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</row>
    <row r="16" spans="1:224">
      <c r="B16" t="s">
        <v>324</v>
      </c>
      <c r="C16" t="s">
        <v>324</v>
      </c>
      <c r="F16" t="s">
        <v>324</v>
      </c>
      <c r="G16" t="s">
        <v>324</v>
      </c>
      <c r="H16" t="s">
        <v>325</v>
      </c>
      <c r="I16" t="s">
        <v>326</v>
      </c>
      <c r="J16" t="s">
        <v>327</v>
      </c>
      <c r="K16" t="s">
        <v>328</v>
      </c>
      <c r="L16" t="s">
        <v>328</v>
      </c>
      <c r="M16" t="s">
        <v>166</v>
      </c>
      <c r="N16" t="s">
        <v>166</v>
      </c>
      <c r="O16" t="s">
        <v>325</v>
      </c>
      <c r="P16" t="s">
        <v>325</v>
      </c>
      <c r="Q16" t="s">
        <v>325</v>
      </c>
      <c r="R16" t="s">
        <v>325</v>
      </c>
      <c r="S16" t="s">
        <v>329</v>
      </c>
      <c r="T16" t="s">
        <v>330</v>
      </c>
      <c r="U16" t="s">
        <v>330</v>
      </c>
      <c r="V16" t="s">
        <v>331</v>
      </c>
      <c r="W16" t="s">
        <v>332</v>
      </c>
      <c r="X16" t="s">
        <v>331</v>
      </c>
      <c r="Y16" t="s">
        <v>331</v>
      </c>
      <c r="Z16" t="s">
        <v>331</v>
      </c>
      <c r="AA16" t="s">
        <v>329</v>
      </c>
      <c r="AB16" t="s">
        <v>329</v>
      </c>
      <c r="AC16" t="s">
        <v>329</v>
      </c>
      <c r="AD16" t="s">
        <v>329</v>
      </c>
      <c r="AE16" t="s">
        <v>327</v>
      </c>
      <c r="AF16" t="s">
        <v>326</v>
      </c>
      <c r="AG16" t="s">
        <v>327</v>
      </c>
      <c r="AH16" t="s">
        <v>328</v>
      </c>
      <c r="AI16" t="s">
        <v>328</v>
      </c>
      <c r="AJ16" t="s">
        <v>333</v>
      </c>
      <c r="AK16" t="s">
        <v>334</v>
      </c>
      <c r="AL16" t="s">
        <v>326</v>
      </c>
      <c r="AM16" t="s">
        <v>335</v>
      </c>
      <c r="AN16" t="s">
        <v>335</v>
      </c>
      <c r="AO16" t="s">
        <v>336</v>
      </c>
      <c r="AP16" t="s">
        <v>334</v>
      </c>
      <c r="AQ16" t="s">
        <v>337</v>
      </c>
      <c r="AR16" t="s">
        <v>332</v>
      </c>
      <c r="AT16" t="s">
        <v>332</v>
      </c>
      <c r="AU16" t="s">
        <v>337</v>
      </c>
      <c r="AV16" t="s">
        <v>327</v>
      </c>
      <c r="AW16" t="s">
        <v>327</v>
      </c>
      <c r="AY16" t="s">
        <v>338</v>
      </c>
      <c r="AZ16" t="s">
        <v>339</v>
      </c>
      <c r="BC16" t="s">
        <v>325</v>
      </c>
      <c r="BE16" t="s">
        <v>324</v>
      </c>
      <c r="BF16" t="s">
        <v>328</v>
      </c>
      <c r="BG16" t="s">
        <v>328</v>
      </c>
      <c r="BH16" t="s">
        <v>335</v>
      </c>
      <c r="BI16" t="s">
        <v>335</v>
      </c>
      <c r="BJ16" t="s">
        <v>328</v>
      </c>
      <c r="BK16" t="s">
        <v>335</v>
      </c>
      <c r="BL16" t="s">
        <v>337</v>
      </c>
      <c r="BM16" t="s">
        <v>331</v>
      </c>
      <c r="BN16" t="s">
        <v>331</v>
      </c>
      <c r="BO16" t="s">
        <v>330</v>
      </c>
      <c r="BP16" t="s">
        <v>330</v>
      </c>
      <c r="BQ16" t="s">
        <v>330</v>
      </c>
      <c r="BR16" t="s">
        <v>330</v>
      </c>
      <c r="BS16" t="s">
        <v>330</v>
      </c>
      <c r="BT16" t="s">
        <v>340</v>
      </c>
      <c r="BU16" t="s">
        <v>327</v>
      </c>
      <c r="BV16" t="s">
        <v>327</v>
      </c>
      <c r="BW16" t="s">
        <v>328</v>
      </c>
      <c r="BX16" t="s">
        <v>328</v>
      </c>
      <c r="BY16" t="s">
        <v>328</v>
      </c>
      <c r="BZ16" t="s">
        <v>335</v>
      </c>
      <c r="CA16" t="s">
        <v>328</v>
      </c>
      <c r="CB16" t="s">
        <v>335</v>
      </c>
      <c r="CC16" t="s">
        <v>331</v>
      </c>
      <c r="CD16" t="s">
        <v>331</v>
      </c>
      <c r="CE16" t="s">
        <v>330</v>
      </c>
      <c r="CF16" t="s">
        <v>330</v>
      </c>
      <c r="CG16" t="s">
        <v>327</v>
      </c>
      <c r="CL16" t="s">
        <v>327</v>
      </c>
      <c r="CO16" t="s">
        <v>330</v>
      </c>
      <c r="CP16" t="s">
        <v>330</v>
      </c>
      <c r="CQ16" t="s">
        <v>330</v>
      </c>
      <c r="CR16" t="s">
        <v>330</v>
      </c>
      <c r="CS16" t="s">
        <v>330</v>
      </c>
      <c r="CT16" t="s">
        <v>327</v>
      </c>
      <c r="CU16" t="s">
        <v>327</v>
      </c>
      <c r="CV16" t="s">
        <v>327</v>
      </c>
      <c r="CW16" t="s">
        <v>324</v>
      </c>
      <c r="CY16" t="s">
        <v>341</v>
      </c>
      <c r="DA16" t="s">
        <v>324</v>
      </c>
      <c r="DB16" t="s">
        <v>324</v>
      </c>
      <c r="DD16" t="s">
        <v>342</v>
      </c>
      <c r="DE16" t="s">
        <v>343</v>
      </c>
      <c r="DF16" t="s">
        <v>342</v>
      </c>
      <c r="DG16" t="s">
        <v>343</v>
      </c>
      <c r="DH16" t="s">
        <v>342</v>
      </c>
      <c r="DI16" t="s">
        <v>343</v>
      </c>
      <c r="DJ16" t="s">
        <v>332</v>
      </c>
      <c r="DK16" t="s">
        <v>332</v>
      </c>
      <c r="DL16" t="s">
        <v>328</v>
      </c>
      <c r="DM16" t="s">
        <v>344</v>
      </c>
      <c r="DN16" t="s">
        <v>328</v>
      </c>
      <c r="DP16" t="s">
        <v>335</v>
      </c>
      <c r="DQ16" t="s">
        <v>345</v>
      </c>
      <c r="DR16" t="s">
        <v>335</v>
      </c>
      <c r="DW16" t="s">
        <v>346</v>
      </c>
      <c r="DX16" t="s">
        <v>346</v>
      </c>
      <c r="EK16" t="s">
        <v>346</v>
      </c>
      <c r="EL16" t="s">
        <v>346</v>
      </c>
      <c r="EM16" t="s">
        <v>347</v>
      </c>
      <c r="EN16" t="s">
        <v>347</v>
      </c>
      <c r="EO16" t="s">
        <v>330</v>
      </c>
      <c r="EP16" t="s">
        <v>330</v>
      </c>
      <c r="EQ16" t="s">
        <v>332</v>
      </c>
      <c r="ER16" t="s">
        <v>330</v>
      </c>
      <c r="ES16" t="s">
        <v>335</v>
      </c>
      <c r="ET16" t="s">
        <v>332</v>
      </c>
      <c r="EU16" t="s">
        <v>332</v>
      </c>
      <c r="EW16" t="s">
        <v>346</v>
      </c>
      <c r="EX16" t="s">
        <v>346</v>
      </c>
      <c r="EY16" t="s">
        <v>346</v>
      </c>
      <c r="EZ16" t="s">
        <v>346</v>
      </c>
      <c r="FA16" t="s">
        <v>346</v>
      </c>
      <c r="FB16" t="s">
        <v>346</v>
      </c>
      <c r="FC16" t="s">
        <v>346</v>
      </c>
      <c r="FD16" t="s">
        <v>348</v>
      </c>
      <c r="FE16" t="s">
        <v>348</v>
      </c>
      <c r="FF16" t="s">
        <v>348</v>
      </c>
      <c r="FG16" t="s">
        <v>349</v>
      </c>
      <c r="FH16" t="s">
        <v>346</v>
      </c>
      <c r="FI16" t="s">
        <v>346</v>
      </c>
      <c r="FJ16" t="s">
        <v>346</v>
      </c>
      <c r="FK16" t="s">
        <v>346</v>
      </c>
      <c r="FL16" t="s">
        <v>346</v>
      </c>
      <c r="FM16" t="s">
        <v>346</v>
      </c>
      <c r="FN16" t="s">
        <v>346</v>
      </c>
      <c r="FO16" t="s">
        <v>346</v>
      </c>
      <c r="FP16" t="s">
        <v>346</v>
      </c>
      <c r="FQ16" t="s">
        <v>346</v>
      </c>
      <c r="FR16" t="s">
        <v>346</v>
      </c>
      <c r="FS16" t="s">
        <v>346</v>
      </c>
      <c r="FZ16" t="s">
        <v>346</v>
      </c>
      <c r="GA16" t="s">
        <v>332</v>
      </c>
      <c r="GB16" t="s">
        <v>332</v>
      </c>
      <c r="GC16" t="s">
        <v>342</v>
      </c>
      <c r="GD16" t="s">
        <v>343</v>
      </c>
      <c r="GE16" t="s">
        <v>342</v>
      </c>
      <c r="GI16" t="s">
        <v>343</v>
      </c>
      <c r="GM16" t="s">
        <v>328</v>
      </c>
      <c r="GN16" t="s">
        <v>328</v>
      </c>
      <c r="GO16" t="s">
        <v>335</v>
      </c>
      <c r="GP16" t="s">
        <v>335</v>
      </c>
      <c r="GQ16" t="s">
        <v>350</v>
      </c>
      <c r="GR16" t="s">
        <v>350</v>
      </c>
      <c r="GS16" t="s">
        <v>346</v>
      </c>
      <c r="GT16" t="s">
        <v>346</v>
      </c>
      <c r="GU16" t="s">
        <v>346</v>
      </c>
      <c r="GV16" t="s">
        <v>346</v>
      </c>
      <c r="GW16" t="s">
        <v>346</v>
      </c>
      <c r="GX16" t="s">
        <v>346</v>
      </c>
      <c r="GY16" t="s">
        <v>330</v>
      </c>
      <c r="GZ16" t="s">
        <v>346</v>
      </c>
      <c r="HB16" t="s">
        <v>337</v>
      </c>
      <c r="HC16" t="s">
        <v>337</v>
      </c>
      <c r="HD16" t="s">
        <v>330</v>
      </c>
      <c r="HE16" t="s">
        <v>330</v>
      </c>
      <c r="HF16" t="s">
        <v>330</v>
      </c>
      <c r="HG16" t="s">
        <v>330</v>
      </c>
      <c r="HH16" t="s">
        <v>330</v>
      </c>
      <c r="HI16" t="s">
        <v>332</v>
      </c>
      <c r="HJ16" t="s">
        <v>332</v>
      </c>
      <c r="HK16" t="s">
        <v>332</v>
      </c>
      <c r="HL16" t="s">
        <v>330</v>
      </c>
      <c r="HM16" t="s">
        <v>328</v>
      </c>
      <c r="HN16" t="s">
        <v>335</v>
      </c>
      <c r="HO16" t="s">
        <v>332</v>
      </c>
      <c r="HP16" t="s">
        <v>332</v>
      </c>
    </row>
    <row r="17" spans="1:224">
      <c r="A17">
        <v>1</v>
      </c>
      <c r="B17">
        <v>1750621045.6</v>
      </c>
      <c r="C17">
        <v>0</v>
      </c>
      <c r="D17" t="s">
        <v>351</v>
      </c>
      <c r="E17" t="s">
        <v>352</v>
      </c>
      <c r="F17">
        <v>15</v>
      </c>
      <c r="G17">
        <v>1750621037.599999</v>
      </c>
      <c r="H17">
        <f>(I17)/1000</f>
        <v>0</v>
      </c>
      <c r="I17">
        <f>IF(BD17, AL17, AF17)</f>
        <v>0</v>
      </c>
      <c r="J17">
        <f>IF(BD17, AG17, AE17)</f>
        <v>0</v>
      </c>
      <c r="K17">
        <f>BF17 - IF(AS17&gt;1, J17*AZ17*100.0/(AU17), 0)</f>
        <v>0</v>
      </c>
      <c r="L17">
        <f>((R17-H17/2)*K17-J17)/(R17+H17/2)</f>
        <v>0</v>
      </c>
      <c r="M17">
        <f>L17*(BM17+BN17)/1000.0</f>
        <v>0</v>
      </c>
      <c r="N17">
        <f>(BF17 - IF(AS17&gt;1, J17*AZ17*100.0/(AU17), 0))*(BM17+BN17)/1000.0</f>
        <v>0</v>
      </c>
      <c r="O17">
        <f>2.0/((1/Q17-1/P17)+SIGN(Q17)*SQRT((1/Q17-1/P17)*(1/Q17-1/P17) + 4*BA17/((BA17+1)*(BA17+1))*(2*1/Q17*1/P17-1/P17*1/P17)))</f>
        <v>0</v>
      </c>
      <c r="P17">
        <f>IF(LEFT(BB17,1)&lt;&gt;"0",IF(LEFT(BB17,1)="1",3.0,BC17),$D$5+$E$5*(BT17*BM17/($K$5*1000))+$F$5*(BT17*BM17/($K$5*1000))*MAX(MIN(AZ17,$J$5),$I$5)*MAX(MIN(AZ17,$J$5),$I$5)+$G$5*MAX(MIN(AZ17,$J$5),$I$5)*(BT17*BM17/($K$5*1000))+$H$5*(BT17*BM17/($K$5*1000))*(BT17*BM17/($K$5*1000)))</f>
        <v>0</v>
      </c>
      <c r="Q17">
        <f>H17*(1000-(1000*0.61365*exp(17.502*U17/(240.97+U17))/(BM17+BN17)+BH17)/2)/(1000*0.61365*exp(17.502*U17/(240.97+U17))/(BM17+BN17)-BH17)</f>
        <v>0</v>
      </c>
      <c r="R17">
        <f>1/((BA17+1)/(O17/1.6)+1/(P17/1.37)) + BA17/((BA17+1)/(O17/1.6) + BA17/(P17/1.37))</f>
        <v>0</v>
      </c>
      <c r="S17">
        <f>(AV17*AY17)</f>
        <v>0</v>
      </c>
      <c r="T17">
        <f>(BO17+(S17+2*0.95*5.67E-8*(((BO17+$B$7)+273)^4-(BO17+273)^4)-44100*H17)/(1.84*29.3*P17+8*0.95*5.67E-8*(BO17+273)^3))</f>
        <v>0</v>
      </c>
      <c r="U17">
        <f>($C$7*BP17+$D$7*BQ17+$E$7*T17)</f>
        <v>0</v>
      </c>
      <c r="V17">
        <f>0.61365*exp(17.502*U17/(240.97+U17))</f>
        <v>0</v>
      </c>
      <c r="W17">
        <f>(X17/Y17*100)</f>
        <v>0</v>
      </c>
      <c r="X17">
        <f>BH17*(BM17+BN17)/1000</f>
        <v>0</v>
      </c>
      <c r="Y17">
        <f>0.61365*exp(17.502*BO17/(240.97+BO17))</f>
        <v>0</v>
      </c>
      <c r="Z17">
        <f>(V17-BH17*(BM17+BN17)/1000)</f>
        <v>0</v>
      </c>
      <c r="AA17">
        <f>(-H17*44100)</f>
        <v>0</v>
      </c>
      <c r="AB17">
        <f>2*29.3*P17*0.92*(BO17-U17)</f>
        <v>0</v>
      </c>
      <c r="AC17">
        <f>2*0.95*5.67E-8*(((BO17+$B$7)+273)^4-(U17+273)^4)</f>
        <v>0</v>
      </c>
      <c r="AD17">
        <f>S17+AC17+AA17+AB17</f>
        <v>0</v>
      </c>
      <c r="AE17">
        <f>BL17*AS17*(BG17-BF17*(1000-AS17*BI17)/(1000-AS17*BH17))/(100*AZ17)</f>
        <v>0</v>
      </c>
      <c r="AF17">
        <f>1000*BL17*AS17*(BH17-BI17)/(100*AZ17*(1000-AS17*BH17))</f>
        <v>0</v>
      </c>
      <c r="AG17">
        <f>(AH17 - AI17 - BM17*1E3/(8.314*(BO17+273.15)) * AK17/BL17 * AJ17) * BL17/(100*AZ17) * (1000 - BI17)/1000</f>
        <v>0</v>
      </c>
      <c r="AH17">
        <v>405.8334192970032</v>
      </c>
      <c r="AI17">
        <v>402.5775636363637</v>
      </c>
      <c r="AJ17">
        <v>-0.001049864108912333</v>
      </c>
      <c r="AK17">
        <v>66.97626900972422</v>
      </c>
      <c r="AL17">
        <f>(AN17 - AM17 + BM17*1E3/(8.314*(BO17+273.15)) * AP17/BL17 * AO17) * BL17/(100*AZ17) * 1000/(1000 - AN17)</f>
        <v>0</v>
      </c>
      <c r="AM17">
        <v>14.4161481299817</v>
      </c>
      <c r="AN17">
        <v>14.91544666666667</v>
      </c>
      <c r="AO17">
        <v>3.123531684612424E-05</v>
      </c>
      <c r="AP17">
        <v>79.05663938263397</v>
      </c>
      <c r="AQ17">
        <v>327</v>
      </c>
      <c r="AR17">
        <v>41</v>
      </c>
      <c r="AS17">
        <f>IF(AQ17*$H$13&gt;=AU17,1.0,(AU17/(AU17-AQ17*$H$13)))</f>
        <v>0</v>
      </c>
      <c r="AT17">
        <f>(AS17-1)*100</f>
        <v>0</v>
      </c>
      <c r="AU17">
        <f>MAX(0,($B$13+$C$13*BT17)/(1+$D$13*BT17)*BM17/(BO17+273)*$E$13)</f>
        <v>0</v>
      </c>
      <c r="AV17">
        <f>$B$11*BU17+$C$11*BV17+$F$11*CG17*(1-CJ17)</f>
        <v>0</v>
      </c>
      <c r="AW17">
        <f>AV17*AX17</f>
        <v>0</v>
      </c>
      <c r="AX17">
        <f>($B$11*$D$9+$C$11*$D$9+$F$11*((CT17+CL17)/MAX(CT17+CL17+CU17, 0.1)*$I$9+CU17/MAX(CT17+CL17+CU17, 0.1)*$J$9))/($B$11+$C$11+$F$11)</f>
        <v>0</v>
      </c>
      <c r="AY17">
        <f>($B$11*$K$9+$C$11*$K$9+$F$11*((CT17+CL17)/MAX(CT17+CL17+CU17, 0.1)*$P$9+CU17/MAX(CT17+CL17+CU17, 0.1)*$Q$9))/($B$11+$C$11+$F$11)</f>
        <v>0</v>
      </c>
      <c r="AZ17">
        <v>6</v>
      </c>
      <c r="BA17">
        <v>0.5</v>
      </c>
      <c r="BB17" t="s">
        <v>353</v>
      </c>
      <c r="BC17">
        <v>2</v>
      </c>
      <c r="BD17" t="b">
        <v>0</v>
      </c>
      <c r="BE17">
        <v>1750621037.599999</v>
      </c>
      <c r="BF17">
        <v>396.6018387096775</v>
      </c>
      <c r="BG17">
        <v>399.9903225806451</v>
      </c>
      <c r="BH17">
        <v>14.89531935483871</v>
      </c>
      <c r="BI17">
        <v>14.41664838709677</v>
      </c>
      <c r="BJ17">
        <v>394.0858387096775</v>
      </c>
      <c r="BK17">
        <v>14.78031935483871</v>
      </c>
      <c r="BL17">
        <v>800.0029999999998</v>
      </c>
      <c r="BM17">
        <v>101.1313870967742</v>
      </c>
      <c r="BN17">
        <v>0.1000450806451613</v>
      </c>
      <c r="BO17">
        <v>19.96716129032258</v>
      </c>
      <c r="BP17">
        <v>19.26859032258065</v>
      </c>
      <c r="BQ17">
        <v>999.9000000000003</v>
      </c>
      <c r="BR17">
        <v>0</v>
      </c>
      <c r="BS17">
        <v>0</v>
      </c>
      <c r="BT17">
        <v>10002.10967741935</v>
      </c>
      <c r="BU17">
        <v>0</v>
      </c>
      <c r="BV17">
        <v>0.00152894</v>
      </c>
      <c r="BW17">
        <v>-3.36949935483871</v>
      </c>
      <c r="BX17">
        <v>402.6239032258064</v>
      </c>
      <c r="BY17">
        <v>405.8411612903226</v>
      </c>
      <c r="BZ17">
        <v>0.4934294838709677</v>
      </c>
      <c r="CA17">
        <v>399.9903225806451</v>
      </c>
      <c r="CB17">
        <v>14.41664838709677</v>
      </c>
      <c r="CC17">
        <v>1.507877419354839</v>
      </c>
      <c r="CD17">
        <v>1.457974838709677</v>
      </c>
      <c r="CE17">
        <v>13.04825806451613</v>
      </c>
      <c r="CF17">
        <v>12.53441935483871</v>
      </c>
      <c r="CG17">
        <v>999.9784838709676</v>
      </c>
      <c r="CH17">
        <v>0.9599995806451614</v>
      </c>
      <c r="CI17">
        <v>0.04000033548387096</v>
      </c>
      <c r="CJ17">
        <v>0</v>
      </c>
      <c r="CK17">
        <v>-0.5738709677419354</v>
      </c>
      <c r="CL17">
        <v>0</v>
      </c>
      <c r="CM17">
        <v>5567.178709677419</v>
      </c>
      <c r="CN17">
        <v>7946.741290322581</v>
      </c>
      <c r="CO17">
        <v>37.4471935483871</v>
      </c>
      <c r="CP17">
        <v>39.48983870967741</v>
      </c>
      <c r="CQ17">
        <v>38.72358064516129</v>
      </c>
      <c r="CR17">
        <v>38.73351612903225</v>
      </c>
      <c r="CS17">
        <v>36.97358064516129</v>
      </c>
      <c r="CT17">
        <v>959.9796774193549</v>
      </c>
      <c r="CU17">
        <v>40</v>
      </c>
      <c r="CV17">
        <v>0</v>
      </c>
      <c r="CW17">
        <v>1750621063.3</v>
      </c>
      <c r="CX17">
        <v>0</v>
      </c>
      <c r="CY17">
        <v>1750621065.1</v>
      </c>
      <c r="CZ17" t="s">
        <v>354</v>
      </c>
      <c r="DA17">
        <v>1750621061.6</v>
      </c>
      <c r="DB17">
        <v>1750621065.1</v>
      </c>
      <c r="DC17">
        <v>5</v>
      </c>
      <c r="DD17">
        <v>-0.018</v>
      </c>
      <c r="DE17">
        <v>-0.001</v>
      </c>
      <c r="DF17">
        <v>2.516</v>
      </c>
      <c r="DG17">
        <v>0.115</v>
      </c>
      <c r="DH17">
        <v>400</v>
      </c>
      <c r="DI17">
        <v>14</v>
      </c>
      <c r="DJ17">
        <v>0.46</v>
      </c>
      <c r="DK17">
        <v>0.16</v>
      </c>
      <c r="DL17">
        <v>-3.3571035</v>
      </c>
      <c r="DM17">
        <v>-0.194966904315185</v>
      </c>
      <c r="DN17">
        <v>0.02907378007328942</v>
      </c>
      <c r="DO17">
        <v>0</v>
      </c>
      <c r="DP17">
        <v>0.490573775</v>
      </c>
      <c r="DQ17">
        <v>0.05530918198874255</v>
      </c>
      <c r="DR17">
        <v>0.005366841224069796</v>
      </c>
      <c r="DS17">
        <v>1</v>
      </c>
      <c r="DT17">
        <v>1</v>
      </c>
      <c r="DU17">
        <v>2</v>
      </c>
      <c r="DV17" t="s">
        <v>355</v>
      </c>
      <c r="DW17">
        <v>3.44788</v>
      </c>
      <c r="DX17">
        <v>2.78072</v>
      </c>
      <c r="DY17">
        <v>0.09710249999999999</v>
      </c>
      <c r="DZ17">
        <v>0.0981563</v>
      </c>
      <c r="EA17">
        <v>0.08585710000000001</v>
      </c>
      <c r="EB17">
        <v>0.083592</v>
      </c>
      <c r="EC17">
        <v>27456.3</v>
      </c>
      <c r="ED17">
        <v>31181</v>
      </c>
      <c r="EE17">
        <v>29516.5</v>
      </c>
      <c r="EF17">
        <v>35138.3</v>
      </c>
      <c r="EG17">
        <v>31193.8</v>
      </c>
      <c r="EH17">
        <v>39983.9</v>
      </c>
      <c r="EI17">
        <v>36332</v>
      </c>
      <c r="EJ17">
        <v>46532.7</v>
      </c>
      <c r="EK17">
        <v>2.06868</v>
      </c>
      <c r="EL17">
        <v>2.40223</v>
      </c>
      <c r="EM17">
        <v>0.106193</v>
      </c>
      <c r="EN17">
        <v>0</v>
      </c>
      <c r="EO17">
        <v>17.5231</v>
      </c>
      <c r="EP17">
        <v>999.9</v>
      </c>
      <c r="EQ17">
        <v>60.1</v>
      </c>
      <c r="ER17">
        <v>20.4</v>
      </c>
      <c r="ES17">
        <v>14.2945</v>
      </c>
      <c r="ET17">
        <v>61.8001</v>
      </c>
      <c r="EU17">
        <v>27.2436</v>
      </c>
      <c r="EV17">
        <v>2</v>
      </c>
      <c r="EW17">
        <v>-0.709581</v>
      </c>
      <c r="EX17">
        <v>0</v>
      </c>
      <c r="EY17">
        <v>20.2927</v>
      </c>
      <c r="EZ17">
        <v>5.21654</v>
      </c>
      <c r="FA17">
        <v>11.968</v>
      </c>
      <c r="FB17">
        <v>4.9933</v>
      </c>
      <c r="FC17">
        <v>3.272</v>
      </c>
      <c r="FD17">
        <v>2516.2</v>
      </c>
      <c r="FE17">
        <v>9999</v>
      </c>
      <c r="FF17">
        <v>9999</v>
      </c>
      <c r="FG17">
        <v>999.9</v>
      </c>
      <c r="FH17">
        <v>4.97253</v>
      </c>
      <c r="FI17">
        <v>1.86206</v>
      </c>
      <c r="FJ17">
        <v>1.86374</v>
      </c>
      <c r="FK17">
        <v>1.86218</v>
      </c>
      <c r="FL17">
        <v>1.86218</v>
      </c>
      <c r="FM17">
        <v>1.86292</v>
      </c>
      <c r="FN17">
        <v>1.8594</v>
      </c>
      <c r="FO17">
        <v>1.86218</v>
      </c>
      <c r="FP17">
        <v>0</v>
      </c>
      <c r="FQ17">
        <v>0</v>
      </c>
      <c r="FR17">
        <v>0</v>
      </c>
      <c r="FS17">
        <v>0</v>
      </c>
      <c r="FT17" t="s">
        <v>356</v>
      </c>
      <c r="FU17" t="s">
        <v>357</v>
      </c>
      <c r="FV17" t="s">
        <v>358</v>
      </c>
      <c r="FW17" t="s">
        <v>358</v>
      </c>
      <c r="FX17" t="s">
        <v>358</v>
      </c>
      <c r="FY17" t="s">
        <v>358</v>
      </c>
      <c r="FZ17">
        <v>0</v>
      </c>
      <c r="GA17">
        <v>100</v>
      </c>
      <c r="GB17">
        <v>100</v>
      </c>
      <c r="GC17">
        <v>2.516</v>
      </c>
      <c r="GD17">
        <v>0.115</v>
      </c>
      <c r="GE17">
        <v>2.814393662406069</v>
      </c>
      <c r="GF17">
        <v>-0.001033730503750798</v>
      </c>
      <c r="GG17">
        <v>9.120241388950126E-07</v>
      </c>
      <c r="GH17">
        <v>-2.246115299815222E-10</v>
      </c>
      <c r="GI17">
        <v>0.002633488254305871</v>
      </c>
      <c r="GJ17">
        <v>-0.01814858093373864</v>
      </c>
      <c r="GK17">
        <v>0.002091959988359369</v>
      </c>
      <c r="GL17">
        <v>-1.90871700788604E-05</v>
      </c>
      <c r="GM17">
        <v>2</v>
      </c>
      <c r="GN17">
        <v>2210</v>
      </c>
      <c r="GO17">
        <v>1</v>
      </c>
      <c r="GP17">
        <v>26</v>
      </c>
      <c r="GQ17">
        <v>6.8</v>
      </c>
      <c r="GR17">
        <v>6.8</v>
      </c>
      <c r="GS17">
        <v>1.23535</v>
      </c>
      <c r="GT17">
        <v>2.34863</v>
      </c>
      <c r="GU17">
        <v>2.34741</v>
      </c>
      <c r="GV17">
        <v>2.79419</v>
      </c>
      <c r="GW17">
        <v>2.39868</v>
      </c>
      <c r="GX17">
        <v>2.25342</v>
      </c>
      <c r="GY17">
        <v>24.8979</v>
      </c>
      <c r="GZ17">
        <v>14.9726</v>
      </c>
      <c r="HA17">
        <v>18</v>
      </c>
      <c r="HB17">
        <v>440.291</v>
      </c>
      <c r="HC17">
        <v>697.901</v>
      </c>
      <c r="HD17">
        <v>18.8355</v>
      </c>
      <c r="HE17">
        <v>17.7153</v>
      </c>
      <c r="HF17">
        <v>30</v>
      </c>
      <c r="HG17">
        <v>17.6259</v>
      </c>
      <c r="HH17">
        <v>17.5707</v>
      </c>
      <c r="HI17">
        <v>24.7801</v>
      </c>
      <c r="HJ17">
        <v>0</v>
      </c>
      <c r="HK17">
        <v>20</v>
      </c>
      <c r="HL17">
        <v>-999.9</v>
      </c>
      <c r="HM17">
        <v>400</v>
      </c>
      <c r="HN17">
        <v>13.0019</v>
      </c>
      <c r="HO17">
        <v>101.339</v>
      </c>
      <c r="HP17">
        <v>101.586</v>
      </c>
    </row>
    <row r="18" spans="1:224">
      <c r="A18">
        <v>2</v>
      </c>
      <c r="B18">
        <v>1750621189.6</v>
      </c>
      <c r="C18">
        <v>144</v>
      </c>
      <c r="D18" t="s">
        <v>359</v>
      </c>
      <c r="E18" t="s">
        <v>360</v>
      </c>
      <c r="F18">
        <v>15</v>
      </c>
      <c r="G18">
        <v>1750621181.849999</v>
      </c>
      <c r="H18">
        <f>(I18)/1000</f>
        <v>0</v>
      </c>
      <c r="I18">
        <f>IF(BD18, AL18, AF18)</f>
        <v>0</v>
      </c>
      <c r="J18">
        <f>IF(BD18, AG18, AE18)</f>
        <v>0</v>
      </c>
      <c r="K18">
        <f>BF18 - IF(AS18&gt;1, J18*AZ18*100.0/(AU18), 0)</f>
        <v>0</v>
      </c>
      <c r="L18">
        <f>((R18-H18/2)*K18-J18)/(R18+H18/2)</f>
        <v>0</v>
      </c>
      <c r="M18">
        <f>L18*(BM18+BN18)/1000.0</f>
        <v>0</v>
      </c>
      <c r="N18">
        <f>(BF18 - IF(AS18&gt;1, J18*AZ18*100.0/(AU18), 0))*(BM18+BN18)/1000.0</f>
        <v>0</v>
      </c>
      <c r="O18">
        <f>2.0/((1/Q18-1/P18)+SIGN(Q18)*SQRT((1/Q18-1/P18)*(1/Q18-1/P18) + 4*BA18/((BA18+1)*(BA18+1))*(2*1/Q18*1/P18-1/P18*1/P18)))</f>
        <v>0</v>
      </c>
      <c r="P18">
        <f>IF(LEFT(BB18,1)&lt;&gt;"0",IF(LEFT(BB18,1)="1",3.0,BC18),$D$5+$E$5*(BT18*BM18/($K$5*1000))+$F$5*(BT18*BM18/($K$5*1000))*MAX(MIN(AZ18,$J$5),$I$5)*MAX(MIN(AZ18,$J$5),$I$5)+$G$5*MAX(MIN(AZ18,$J$5),$I$5)*(BT18*BM18/($K$5*1000))+$H$5*(BT18*BM18/($K$5*1000))*(BT18*BM18/($K$5*1000)))</f>
        <v>0</v>
      </c>
      <c r="Q18">
        <f>H18*(1000-(1000*0.61365*exp(17.502*U18/(240.97+U18))/(BM18+BN18)+BH18)/2)/(1000*0.61365*exp(17.502*U18/(240.97+U18))/(BM18+BN18)-BH18)</f>
        <v>0</v>
      </c>
      <c r="R18">
        <f>1/((BA18+1)/(O18/1.6)+1/(P18/1.37)) + BA18/((BA18+1)/(O18/1.6) + BA18/(P18/1.37))</f>
        <v>0</v>
      </c>
      <c r="S18">
        <f>(AV18*AY18)</f>
        <v>0</v>
      </c>
      <c r="T18">
        <f>(BO18+(S18+2*0.95*5.67E-8*(((BO18+$B$7)+273)^4-(BO18+273)^4)-44100*H18)/(1.84*29.3*P18+8*0.95*5.67E-8*(BO18+273)^3))</f>
        <v>0</v>
      </c>
      <c r="U18">
        <f>($C$7*BP18+$D$7*BQ18+$E$7*T18)</f>
        <v>0</v>
      </c>
      <c r="V18">
        <f>0.61365*exp(17.502*U18/(240.97+U18))</f>
        <v>0</v>
      </c>
      <c r="W18">
        <f>(X18/Y18*100)</f>
        <v>0</v>
      </c>
      <c r="X18">
        <f>BH18*(BM18+BN18)/1000</f>
        <v>0</v>
      </c>
      <c r="Y18">
        <f>0.61365*exp(17.502*BO18/(240.97+BO18))</f>
        <v>0</v>
      </c>
      <c r="Z18">
        <f>(V18-BH18*(BM18+BN18)/1000)</f>
        <v>0</v>
      </c>
      <c r="AA18">
        <f>(-H18*44100)</f>
        <v>0</v>
      </c>
      <c r="AB18">
        <f>2*29.3*P18*0.92*(BO18-U18)</f>
        <v>0</v>
      </c>
      <c r="AC18">
        <f>2*0.95*5.67E-8*(((BO18+$B$7)+273)^4-(U18+273)^4)</f>
        <v>0</v>
      </c>
      <c r="AD18">
        <f>S18+AC18+AA18+AB18</f>
        <v>0</v>
      </c>
      <c r="AE18">
        <f>BL18*AS18*(BG18-BF18*(1000-AS18*BI18)/(1000-AS18*BH18))/(100*AZ18)</f>
        <v>0</v>
      </c>
      <c r="AF18">
        <f>1000*BL18*AS18*(BH18-BI18)/(100*AZ18*(1000-AS18*BH18))</f>
        <v>0</v>
      </c>
      <c r="AG18">
        <f>(AH18 - AI18 - BM18*1E3/(8.314*(BO18+273.15)) * AK18/BL18 * AJ18) * BL18/(100*AZ18) * (1000 - BI18)/1000</f>
        <v>0</v>
      </c>
      <c r="AH18">
        <v>405.7940057818337</v>
      </c>
      <c r="AI18">
        <v>403.4227272727272</v>
      </c>
      <c r="AJ18">
        <v>-0.0004900678270784364</v>
      </c>
      <c r="AK18">
        <v>66.97932615012986</v>
      </c>
      <c r="AL18">
        <f>(AN18 - AM18 + BM18*1E3/(8.314*(BO18+273.15)) * AP18/BL18 * AO18) * BL18/(100*AZ18) * 1000/(1000 - AN18)</f>
        <v>0</v>
      </c>
      <c r="AM18">
        <v>14.3780907166979</v>
      </c>
      <c r="AN18">
        <v>15.47149636363635</v>
      </c>
      <c r="AO18">
        <v>-1.073668108852305E-05</v>
      </c>
      <c r="AP18">
        <v>79.04947664009619</v>
      </c>
      <c r="AQ18">
        <v>409</v>
      </c>
      <c r="AR18">
        <v>51</v>
      </c>
      <c r="AS18">
        <f>IF(AQ18*$H$13&gt;=AU18,1.0,(AU18/(AU18-AQ18*$H$13)))</f>
        <v>0</v>
      </c>
      <c r="AT18">
        <f>(AS18-1)*100</f>
        <v>0</v>
      </c>
      <c r="AU18">
        <f>MAX(0,($B$13+$C$13*BT18)/(1+$D$13*BT18)*BM18/(BO18+273)*$E$13)</f>
        <v>0</v>
      </c>
      <c r="AV18">
        <f>$B$11*BU18+$C$11*BV18+$F$11*CG18*(1-CJ18)</f>
        <v>0</v>
      </c>
      <c r="AW18">
        <f>AV18*AX18</f>
        <v>0</v>
      </c>
      <c r="AX18">
        <f>($B$11*$D$9+$C$11*$D$9+$F$11*((CT18+CL18)/MAX(CT18+CL18+CU18, 0.1)*$I$9+CU18/MAX(CT18+CL18+CU18, 0.1)*$J$9))/($B$11+$C$11+$F$11)</f>
        <v>0</v>
      </c>
      <c r="AY18">
        <f>($B$11*$K$9+$C$11*$K$9+$F$11*((CT18+CL18)/MAX(CT18+CL18+CU18, 0.1)*$P$9+CU18/MAX(CT18+CL18+CU18, 0.1)*$Q$9))/($B$11+$C$11+$F$11)</f>
        <v>0</v>
      </c>
      <c r="AZ18">
        <v>6</v>
      </c>
      <c r="BA18">
        <v>0.5</v>
      </c>
      <c r="BB18" t="s">
        <v>353</v>
      </c>
      <c r="BC18">
        <v>2</v>
      </c>
      <c r="BD18" t="b">
        <v>0</v>
      </c>
      <c r="BE18">
        <v>1750621181.849999</v>
      </c>
      <c r="BF18">
        <v>397.1942000000001</v>
      </c>
      <c r="BG18">
        <v>399.9859</v>
      </c>
      <c r="BH18">
        <v>15.47072666666667</v>
      </c>
      <c r="BI18">
        <v>14.38117333333333</v>
      </c>
      <c r="BJ18">
        <v>394.7332000000001</v>
      </c>
      <c r="BK18">
        <v>15.32419666666667</v>
      </c>
      <c r="BL18">
        <v>800.0180666666668</v>
      </c>
      <c r="BM18">
        <v>101.1265</v>
      </c>
      <c r="BN18">
        <v>0.1002040133333333</v>
      </c>
      <c r="BO18">
        <v>20.00298</v>
      </c>
      <c r="BP18">
        <v>19.68951</v>
      </c>
      <c r="BQ18">
        <v>999.9000000000002</v>
      </c>
      <c r="BR18">
        <v>0</v>
      </c>
      <c r="BS18">
        <v>0</v>
      </c>
      <c r="BT18">
        <v>10001.35133333333</v>
      </c>
      <c r="BU18">
        <v>0</v>
      </c>
      <c r="BV18">
        <v>0.00152894</v>
      </c>
      <c r="BW18">
        <v>-2.735724666666667</v>
      </c>
      <c r="BX18">
        <v>403.4924000000001</v>
      </c>
      <c r="BY18">
        <v>405.8221</v>
      </c>
      <c r="BZ18">
        <v>1.089545333333333</v>
      </c>
      <c r="CA18">
        <v>399.9859</v>
      </c>
      <c r="CB18">
        <v>14.38117333333333</v>
      </c>
      <c r="CC18">
        <v>1.5645</v>
      </c>
      <c r="CD18">
        <v>1.454319</v>
      </c>
      <c r="CE18">
        <v>13.61353333333333</v>
      </c>
      <c r="CF18">
        <v>12.49615666666667</v>
      </c>
      <c r="CG18">
        <v>999.9631666666668</v>
      </c>
      <c r="CH18">
        <v>0.9600114000000001</v>
      </c>
      <c r="CI18">
        <v>0.03998859</v>
      </c>
      <c r="CJ18">
        <v>0</v>
      </c>
      <c r="CK18">
        <v>2.486333333333334</v>
      </c>
      <c r="CL18">
        <v>0</v>
      </c>
      <c r="CM18">
        <v>7126.798333333335</v>
      </c>
      <c r="CN18">
        <v>7946.660333333332</v>
      </c>
      <c r="CO18">
        <v>38.13319999999999</v>
      </c>
      <c r="CP18">
        <v>40.1166</v>
      </c>
      <c r="CQ18">
        <v>39.31619999999999</v>
      </c>
      <c r="CR18">
        <v>39.98313333333332</v>
      </c>
      <c r="CS18">
        <v>37.63739999999999</v>
      </c>
      <c r="CT18">
        <v>959.9750000000001</v>
      </c>
      <c r="CU18">
        <v>39.98633333333333</v>
      </c>
      <c r="CV18">
        <v>0</v>
      </c>
      <c r="CW18">
        <v>1750621207.3</v>
      </c>
      <c r="CX18">
        <v>0</v>
      </c>
      <c r="CY18">
        <v>1750621206.6</v>
      </c>
      <c r="CZ18" t="s">
        <v>361</v>
      </c>
      <c r="DA18">
        <v>1750621206.6</v>
      </c>
      <c r="DB18">
        <v>1750621065.1</v>
      </c>
      <c r="DC18">
        <v>6</v>
      </c>
      <c r="DD18">
        <v>-0.055</v>
      </c>
      <c r="DE18">
        <v>-0.001</v>
      </c>
      <c r="DF18">
        <v>2.461</v>
      </c>
      <c r="DG18">
        <v>0.115</v>
      </c>
      <c r="DH18">
        <v>400</v>
      </c>
      <c r="DI18">
        <v>14</v>
      </c>
      <c r="DJ18">
        <v>0.34</v>
      </c>
      <c r="DK18">
        <v>0.16</v>
      </c>
      <c r="DL18">
        <v>-2.70728375</v>
      </c>
      <c r="DM18">
        <v>-0.6245710694183801</v>
      </c>
      <c r="DN18">
        <v>0.06347948454766705</v>
      </c>
      <c r="DO18">
        <v>0</v>
      </c>
      <c r="DP18">
        <v>1.0872585</v>
      </c>
      <c r="DQ18">
        <v>0.05437575984990714</v>
      </c>
      <c r="DR18">
        <v>0.005277873885382241</v>
      </c>
      <c r="DS18">
        <v>1</v>
      </c>
      <c r="DT18">
        <v>1</v>
      </c>
      <c r="DU18">
        <v>2</v>
      </c>
      <c r="DV18" t="s">
        <v>355</v>
      </c>
      <c r="DW18">
        <v>3.44792</v>
      </c>
      <c r="DX18">
        <v>2.78087</v>
      </c>
      <c r="DY18">
        <v>0.0972282</v>
      </c>
      <c r="DZ18">
        <v>0.09816270000000001</v>
      </c>
      <c r="EA18">
        <v>0.0881638</v>
      </c>
      <c r="EB18">
        <v>0.08343059999999999</v>
      </c>
      <c r="EC18">
        <v>27454.3</v>
      </c>
      <c r="ED18">
        <v>31183.8</v>
      </c>
      <c r="EE18">
        <v>29518.3</v>
      </c>
      <c r="EF18">
        <v>35141.5</v>
      </c>
      <c r="EG18">
        <v>31115.3</v>
      </c>
      <c r="EH18">
        <v>39995.5</v>
      </c>
      <c r="EI18">
        <v>36334.7</v>
      </c>
      <c r="EJ18">
        <v>46538</v>
      </c>
      <c r="EK18">
        <v>1.88013</v>
      </c>
      <c r="EL18">
        <v>2.4019</v>
      </c>
      <c r="EM18">
        <v>0.133466</v>
      </c>
      <c r="EN18">
        <v>0</v>
      </c>
      <c r="EO18">
        <v>17.4757</v>
      </c>
      <c r="EP18">
        <v>999.9</v>
      </c>
      <c r="EQ18">
        <v>59.9</v>
      </c>
      <c r="ER18">
        <v>20.4</v>
      </c>
      <c r="ES18">
        <v>14.2478</v>
      </c>
      <c r="ET18">
        <v>61.7401</v>
      </c>
      <c r="EU18">
        <v>27.2636</v>
      </c>
      <c r="EV18">
        <v>2</v>
      </c>
      <c r="EW18">
        <v>-0.713224</v>
      </c>
      <c r="EX18">
        <v>0</v>
      </c>
      <c r="EY18">
        <v>20.2929</v>
      </c>
      <c r="EZ18">
        <v>5.21609</v>
      </c>
      <c r="FA18">
        <v>11.968</v>
      </c>
      <c r="FB18">
        <v>4.99305</v>
      </c>
      <c r="FC18">
        <v>3.27198</v>
      </c>
      <c r="FD18">
        <v>2520.5</v>
      </c>
      <c r="FE18">
        <v>9999</v>
      </c>
      <c r="FF18">
        <v>9999</v>
      </c>
      <c r="FG18">
        <v>999.9</v>
      </c>
      <c r="FH18">
        <v>4.97252</v>
      </c>
      <c r="FI18">
        <v>1.8621</v>
      </c>
      <c r="FJ18">
        <v>1.86373</v>
      </c>
      <c r="FK18">
        <v>1.86218</v>
      </c>
      <c r="FL18">
        <v>1.8622</v>
      </c>
      <c r="FM18">
        <v>1.86289</v>
      </c>
      <c r="FN18">
        <v>1.85942</v>
      </c>
      <c r="FO18">
        <v>1.86218</v>
      </c>
      <c r="FP18">
        <v>0</v>
      </c>
      <c r="FQ18">
        <v>0</v>
      </c>
      <c r="FR18">
        <v>0</v>
      </c>
      <c r="FS18">
        <v>0</v>
      </c>
      <c r="FT18" t="s">
        <v>356</v>
      </c>
      <c r="FU18" t="s">
        <v>357</v>
      </c>
      <c r="FV18" t="s">
        <v>358</v>
      </c>
      <c r="FW18" t="s">
        <v>358</v>
      </c>
      <c r="FX18" t="s">
        <v>358</v>
      </c>
      <c r="FY18" t="s">
        <v>358</v>
      </c>
      <c r="FZ18">
        <v>0</v>
      </c>
      <c r="GA18">
        <v>100</v>
      </c>
      <c r="GB18">
        <v>100</v>
      </c>
      <c r="GC18">
        <v>2.461</v>
      </c>
      <c r="GD18">
        <v>0.1466</v>
      </c>
      <c r="GE18">
        <v>2.796670252746446</v>
      </c>
      <c r="GF18">
        <v>-0.001033730503750798</v>
      </c>
      <c r="GG18">
        <v>9.120241388950126E-07</v>
      </c>
      <c r="GH18">
        <v>-2.246115299815222E-10</v>
      </c>
      <c r="GI18">
        <v>0.002076454077587706</v>
      </c>
      <c r="GJ18">
        <v>-0.01814858093373864</v>
      </c>
      <c r="GK18">
        <v>0.002091959988359369</v>
      </c>
      <c r="GL18">
        <v>-1.90871700788604E-05</v>
      </c>
      <c r="GM18">
        <v>2</v>
      </c>
      <c r="GN18">
        <v>2210</v>
      </c>
      <c r="GO18">
        <v>1</v>
      </c>
      <c r="GP18">
        <v>26</v>
      </c>
      <c r="GQ18">
        <v>2.1</v>
      </c>
      <c r="GR18">
        <v>2.1</v>
      </c>
      <c r="GS18">
        <v>1.23535</v>
      </c>
      <c r="GT18">
        <v>2.33765</v>
      </c>
      <c r="GU18">
        <v>2.34863</v>
      </c>
      <c r="GV18">
        <v>2.79297</v>
      </c>
      <c r="GW18">
        <v>2.39868</v>
      </c>
      <c r="GX18">
        <v>2.25586</v>
      </c>
      <c r="GY18">
        <v>24.9387</v>
      </c>
      <c r="GZ18">
        <v>14.9551</v>
      </c>
      <c r="HA18">
        <v>18</v>
      </c>
      <c r="HB18">
        <v>353.009</v>
      </c>
      <c r="HC18">
        <v>697.039</v>
      </c>
      <c r="HD18">
        <v>18.8274</v>
      </c>
      <c r="HE18">
        <v>17.6768</v>
      </c>
      <c r="HF18">
        <v>30.0001</v>
      </c>
      <c r="HG18">
        <v>17.5916</v>
      </c>
      <c r="HH18">
        <v>17.5316</v>
      </c>
      <c r="HI18">
        <v>24.7902</v>
      </c>
      <c r="HJ18">
        <v>0</v>
      </c>
      <c r="HK18">
        <v>20</v>
      </c>
      <c r="HL18">
        <v>-999.9</v>
      </c>
      <c r="HM18">
        <v>400</v>
      </c>
      <c r="HN18">
        <v>13.0019</v>
      </c>
      <c r="HO18">
        <v>101.346</v>
      </c>
      <c r="HP18">
        <v>101.596</v>
      </c>
    </row>
    <row r="19" spans="1:224">
      <c r="A19">
        <v>3</v>
      </c>
      <c r="B19">
        <v>1750621361.1</v>
      </c>
      <c r="C19">
        <v>315.5</v>
      </c>
      <c r="D19" t="s">
        <v>362</v>
      </c>
      <c r="E19" t="s">
        <v>363</v>
      </c>
      <c r="F19">
        <v>15</v>
      </c>
      <c r="G19">
        <v>1750621353.349999</v>
      </c>
      <c r="H19">
        <f>(I19)/1000</f>
        <v>0</v>
      </c>
      <c r="I19">
        <f>IF(BD19, AL19, AF19)</f>
        <v>0</v>
      </c>
      <c r="J19">
        <f>IF(BD19, AG19, AE19)</f>
        <v>0</v>
      </c>
      <c r="K19">
        <f>BF19 - IF(AS19&gt;1, J19*AZ19*100.0/(AU19), 0)</f>
        <v>0</v>
      </c>
      <c r="L19">
        <f>((R19-H19/2)*K19-J19)/(R19+H19/2)</f>
        <v>0</v>
      </c>
      <c r="M19">
        <f>L19*(BM19+BN19)/1000.0</f>
        <v>0</v>
      </c>
      <c r="N19">
        <f>(BF19 - IF(AS19&gt;1, J19*AZ19*100.0/(AU19), 0))*(BM19+BN19)/1000.0</f>
        <v>0</v>
      </c>
      <c r="O19">
        <f>2.0/((1/Q19-1/P19)+SIGN(Q19)*SQRT((1/Q19-1/P19)*(1/Q19-1/P19) + 4*BA19/((BA19+1)*(BA19+1))*(2*1/Q19*1/P19-1/P19*1/P19)))</f>
        <v>0</v>
      </c>
      <c r="P19">
        <f>IF(LEFT(BB19,1)&lt;&gt;"0",IF(LEFT(BB19,1)="1",3.0,BC19),$D$5+$E$5*(BT19*BM19/($K$5*1000))+$F$5*(BT19*BM19/($K$5*1000))*MAX(MIN(AZ19,$J$5),$I$5)*MAX(MIN(AZ19,$J$5),$I$5)+$G$5*MAX(MIN(AZ19,$J$5),$I$5)*(BT19*BM19/($K$5*1000))+$H$5*(BT19*BM19/($K$5*1000))*(BT19*BM19/($K$5*1000)))</f>
        <v>0</v>
      </c>
      <c r="Q19">
        <f>H19*(1000-(1000*0.61365*exp(17.502*U19/(240.97+U19))/(BM19+BN19)+BH19)/2)/(1000*0.61365*exp(17.502*U19/(240.97+U19))/(BM19+BN19)-BH19)</f>
        <v>0</v>
      </c>
      <c r="R19">
        <f>1/((BA19+1)/(O19/1.6)+1/(P19/1.37)) + BA19/((BA19+1)/(O19/1.6) + BA19/(P19/1.37))</f>
        <v>0</v>
      </c>
      <c r="S19">
        <f>(AV19*AY19)</f>
        <v>0</v>
      </c>
      <c r="T19">
        <f>(BO19+(S19+2*0.95*5.67E-8*(((BO19+$B$7)+273)^4-(BO19+273)^4)-44100*H19)/(1.84*29.3*P19+8*0.95*5.67E-8*(BO19+273)^3))</f>
        <v>0</v>
      </c>
      <c r="U19">
        <f>($C$7*BP19+$D$7*BQ19+$E$7*T19)</f>
        <v>0</v>
      </c>
      <c r="V19">
        <f>0.61365*exp(17.502*U19/(240.97+U19))</f>
        <v>0</v>
      </c>
      <c r="W19">
        <f>(X19/Y19*100)</f>
        <v>0</v>
      </c>
      <c r="X19">
        <f>BH19*(BM19+BN19)/1000</f>
        <v>0</v>
      </c>
      <c r="Y19">
        <f>0.61365*exp(17.502*BO19/(240.97+BO19))</f>
        <v>0</v>
      </c>
      <c r="Z19">
        <f>(V19-BH19*(BM19+BN19)/1000)</f>
        <v>0</v>
      </c>
      <c r="AA19">
        <f>(-H19*44100)</f>
        <v>0</v>
      </c>
      <c r="AB19">
        <f>2*29.3*P19*0.92*(BO19-U19)</f>
        <v>0</v>
      </c>
      <c r="AC19">
        <f>2*0.95*5.67E-8*(((BO19+$B$7)+273)^4-(U19+273)^4)</f>
        <v>0</v>
      </c>
      <c r="AD19">
        <f>S19+AC19+AA19+AB19</f>
        <v>0</v>
      </c>
      <c r="AE19">
        <f>BL19*AS19*(BG19-BF19*(1000-AS19*BI19)/(1000-AS19*BH19))/(100*AZ19)</f>
        <v>0</v>
      </c>
      <c r="AF19">
        <f>1000*BL19*AS19*(BH19-BI19)/(100*AZ19*(1000-AS19*BH19))</f>
        <v>0</v>
      </c>
      <c r="AG19">
        <f>(AH19 - AI19 - BM19*1E3/(8.314*(BO19+273.15)) * AK19/BL19 * AJ19) * BL19/(100*AZ19) * (1000 - BI19)/1000</f>
        <v>0</v>
      </c>
      <c r="AH19">
        <v>405.8333399306253</v>
      </c>
      <c r="AI19">
        <v>401.0060909090909</v>
      </c>
      <c r="AJ19">
        <v>-0.02204058874254069</v>
      </c>
      <c r="AK19">
        <v>66.97791280209218</v>
      </c>
      <c r="AL19">
        <f>(AN19 - AM19 + BM19*1E3/(8.314*(BO19+273.15)) * AP19/BL19 * AO19) * BL19/(100*AZ19) * 1000/(1000 - AN19)</f>
        <v>0</v>
      </c>
      <c r="AM19">
        <v>14.36199501063533</v>
      </c>
      <c r="AN19">
        <v>15.49640242424242</v>
      </c>
      <c r="AO19">
        <v>-5.589950404490848E-06</v>
      </c>
      <c r="AP19">
        <v>79.05271544816692</v>
      </c>
      <c r="AQ19">
        <v>304</v>
      </c>
      <c r="AR19">
        <v>38</v>
      </c>
      <c r="AS19">
        <f>IF(AQ19*$H$13&gt;=AU19,1.0,(AU19/(AU19-AQ19*$H$13)))</f>
        <v>0</v>
      </c>
      <c r="AT19">
        <f>(AS19-1)*100</f>
        <v>0</v>
      </c>
      <c r="AU19">
        <f>MAX(0,($B$13+$C$13*BT19)/(1+$D$13*BT19)*BM19/(BO19+273)*$E$13)</f>
        <v>0</v>
      </c>
      <c r="AV19">
        <f>$B$11*BU19+$C$11*BV19+$F$11*CG19*(1-CJ19)</f>
        <v>0</v>
      </c>
      <c r="AW19">
        <f>AV19*AX19</f>
        <v>0</v>
      </c>
      <c r="AX19">
        <f>($B$11*$D$9+$C$11*$D$9+$F$11*((CT19+CL19)/MAX(CT19+CL19+CU19, 0.1)*$I$9+CU19/MAX(CT19+CL19+CU19, 0.1)*$J$9))/($B$11+$C$11+$F$11)</f>
        <v>0</v>
      </c>
      <c r="AY19">
        <f>($B$11*$K$9+$C$11*$K$9+$F$11*((CT19+CL19)/MAX(CT19+CL19+CU19, 0.1)*$P$9+CU19/MAX(CT19+CL19+CU19, 0.1)*$Q$9))/($B$11+$C$11+$F$11)</f>
        <v>0</v>
      </c>
      <c r="AZ19">
        <v>6</v>
      </c>
      <c r="BA19">
        <v>0.5</v>
      </c>
      <c r="BB19" t="s">
        <v>353</v>
      </c>
      <c r="BC19">
        <v>2</v>
      </c>
      <c r="BD19" t="b">
        <v>0</v>
      </c>
      <c r="BE19">
        <v>1750621353.349999</v>
      </c>
      <c r="BF19">
        <v>394.8631333333334</v>
      </c>
      <c r="BG19">
        <v>399.9899333333333</v>
      </c>
      <c r="BH19">
        <v>15.49821666666667</v>
      </c>
      <c r="BI19">
        <v>14.36033666666666</v>
      </c>
      <c r="BJ19">
        <v>392.4041333333334</v>
      </c>
      <c r="BK19">
        <v>15.35082</v>
      </c>
      <c r="BL19">
        <v>799.9896333333332</v>
      </c>
      <c r="BM19">
        <v>101.1261</v>
      </c>
      <c r="BN19">
        <v>0.09990154666666666</v>
      </c>
      <c r="BO19">
        <v>20.14555</v>
      </c>
      <c r="BP19">
        <v>19.71180666666667</v>
      </c>
      <c r="BQ19">
        <v>999.9000000000002</v>
      </c>
      <c r="BR19">
        <v>0</v>
      </c>
      <c r="BS19">
        <v>0</v>
      </c>
      <c r="BT19">
        <v>10008.312</v>
      </c>
      <c r="BU19">
        <v>0</v>
      </c>
      <c r="BV19">
        <v>0.00152894</v>
      </c>
      <c r="BW19">
        <v>-5.122516</v>
      </c>
      <c r="BX19">
        <v>401.0833666666667</v>
      </c>
      <c r="BY19">
        <v>405.8174333333334</v>
      </c>
      <c r="BZ19">
        <v>1.137872333333333</v>
      </c>
      <c r="CA19">
        <v>399.9899333333333</v>
      </c>
      <c r="CB19">
        <v>14.36033666666666</v>
      </c>
      <c r="CC19">
        <v>1.567275</v>
      </c>
      <c r="CD19">
        <v>1.452205333333334</v>
      </c>
      <c r="CE19">
        <v>13.64076666666666</v>
      </c>
      <c r="CF19">
        <v>12.47401666666667</v>
      </c>
      <c r="CG19">
        <v>999.9991999999999</v>
      </c>
      <c r="CH19">
        <v>0.9599931333333331</v>
      </c>
      <c r="CI19">
        <v>0.04000707666666667</v>
      </c>
      <c r="CJ19">
        <v>0</v>
      </c>
      <c r="CK19">
        <v>1.411666666666667</v>
      </c>
      <c r="CL19">
        <v>0</v>
      </c>
      <c r="CM19">
        <v>7630.664333333333</v>
      </c>
      <c r="CN19">
        <v>7946.888333333333</v>
      </c>
      <c r="CO19">
        <v>38.80579999999998</v>
      </c>
      <c r="CP19">
        <v>40.53099999999998</v>
      </c>
      <c r="CQ19">
        <v>39.84349999999999</v>
      </c>
      <c r="CR19">
        <v>40.86853333333332</v>
      </c>
      <c r="CS19">
        <v>38.26859999999999</v>
      </c>
      <c r="CT19">
        <v>959.9893333333333</v>
      </c>
      <c r="CU19">
        <v>40.00933333333333</v>
      </c>
      <c r="CV19">
        <v>0</v>
      </c>
      <c r="CW19">
        <v>1750621378.9</v>
      </c>
      <c r="CX19">
        <v>0</v>
      </c>
      <c r="CY19">
        <v>1750621378.1</v>
      </c>
      <c r="CZ19" t="s">
        <v>364</v>
      </c>
      <c r="DA19">
        <v>1750621378.1</v>
      </c>
      <c r="DB19">
        <v>1750621065.1</v>
      </c>
      <c r="DC19">
        <v>7</v>
      </c>
      <c r="DD19">
        <v>-0.003</v>
      </c>
      <c r="DE19">
        <v>-0.001</v>
      </c>
      <c r="DF19">
        <v>2.459</v>
      </c>
      <c r="DG19">
        <v>0.115</v>
      </c>
      <c r="DH19">
        <v>400</v>
      </c>
      <c r="DI19">
        <v>14</v>
      </c>
      <c r="DJ19">
        <v>0.53</v>
      </c>
      <c r="DK19">
        <v>0.16</v>
      </c>
      <c r="DL19">
        <v>-5.079242750000001</v>
      </c>
      <c r="DM19">
        <v>-0.7867367729831027</v>
      </c>
      <c r="DN19">
        <v>0.07739505045503553</v>
      </c>
      <c r="DO19">
        <v>0</v>
      </c>
      <c r="DP19">
        <v>1.13953675</v>
      </c>
      <c r="DQ19">
        <v>-0.03716048780487737</v>
      </c>
      <c r="DR19">
        <v>0.003666617915395604</v>
      </c>
      <c r="DS19">
        <v>1</v>
      </c>
      <c r="DT19">
        <v>1</v>
      </c>
      <c r="DU19">
        <v>2</v>
      </c>
      <c r="DV19" t="s">
        <v>355</v>
      </c>
      <c r="DW19">
        <v>3.44794</v>
      </c>
      <c r="DX19">
        <v>2.78041</v>
      </c>
      <c r="DY19">
        <v>0.0968038</v>
      </c>
      <c r="DZ19">
        <v>0.0981746</v>
      </c>
      <c r="EA19">
        <v>0.0882757</v>
      </c>
      <c r="EB19">
        <v>0.0833795</v>
      </c>
      <c r="EC19">
        <v>27469.5</v>
      </c>
      <c r="ED19">
        <v>31185.7</v>
      </c>
      <c r="EE19">
        <v>29520.6</v>
      </c>
      <c r="EF19">
        <v>35143.8</v>
      </c>
      <c r="EG19">
        <v>31115.1</v>
      </c>
      <c r="EH19">
        <v>40001.3</v>
      </c>
      <c r="EI19">
        <v>36339.2</v>
      </c>
      <c r="EJ19">
        <v>46542.3</v>
      </c>
      <c r="EK19">
        <v>2.1181</v>
      </c>
      <c r="EL19">
        <v>2.40235</v>
      </c>
      <c r="EM19">
        <v>0.134092</v>
      </c>
      <c r="EN19">
        <v>0</v>
      </c>
      <c r="EO19">
        <v>17.4823</v>
      </c>
      <c r="EP19">
        <v>999.9</v>
      </c>
      <c r="EQ19">
        <v>59.6</v>
      </c>
      <c r="ER19">
        <v>20.5</v>
      </c>
      <c r="ES19">
        <v>14.2643</v>
      </c>
      <c r="ET19">
        <v>61.0401</v>
      </c>
      <c r="EU19">
        <v>27.2556</v>
      </c>
      <c r="EV19">
        <v>2</v>
      </c>
      <c r="EW19">
        <v>-0.717045</v>
      </c>
      <c r="EX19">
        <v>0</v>
      </c>
      <c r="EY19">
        <v>20.2926</v>
      </c>
      <c r="EZ19">
        <v>5.21265</v>
      </c>
      <c r="FA19">
        <v>11.968</v>
      </c>
      <c r="FB19">
        <v>4.9927</v>
      </c>
      <c r="FC19">
        <v>3.27192</v>
      </c>
      <c r="FD19">
        <v>2526.2</v>
      </c>
      <c r="FE19">
        <v>9999</v>
      </c>
      <c r="FF19">
        <v>9999</v>
      </c>
      <c r="FG19">
        <v>999.9</v>
      </c>
      <c r="FH19">
        <v>4.97257</v>
      </c>
      <c r="FI19">
        <v>1.86204</v>
      </c>
      <c r="FJ19">
        <v>1.86376</v>
      </c>
      <c r="FK19">
        <v>1.86218</v>
      </c>
      <c r="FL19">
        <v>1.86221</v>
      </c>
      <c r="FM19">
        <v>1.86293</v>
      </c>
      <c r="FN19">
        <v>1.85937</v>
      </c>
      <c r="FO19">
        <v>1.8622</v>
      </c>
      <c r="FP19">
        <v>0</v>
      </c>
      <c r="FQ19">
        <v>0</v>
      </c>
      <c r="FR19">
        <v>0</v>
      </c>
      <c r="FS19">
        <v>0</v>
      </c>
      <c r="FT19" t="s">
        <v>356</v>
      </c>
      <c r="FU19" t="s">
        <v>357</v>
      </c>
      <c r="FV19" t="s">
        <v>358</v>
      </c>
      <c r="FW19" t="s">
        <v>358</v>
      </c>
      <c r="FX19" t="s">
        <v>358</v>
      </c>
      <c r="FY19" t="s">
        <v>358</v>
      </c>
      <c r="FZ19">
        <v>0</v>
      </c>
      <c r="GA19">
        <v>100</v>
      </c>
      <c r="GB19">
        <v>100</v>
      </c>
      <c r="GC19">
        <v>2.459</v>
      </c>
      <c r="GD19">
        <v>0.1474</v>
      </c>
      <c r="GE19">
        <v>2.74194243845406</v>
      </c>
      <c r="GF19">
        <v>-0.001033730503750798</v>
      </c>
      <c r="GG19">
        <v>9.120241388950126E-07</v>
      </c>
      <c r="GH19">
        <v>-2.246115299815222E-10</v>
      </c>
      <c r="GI19">
        <v>0.002076454077587706</v>
      </c>
      <c r="GJ19">
        <v>-0.01814858093373864</v>
      </c>
      <c r="GK19">
        <v>0.002091959988359369</v>
      </c>
      <c r="GL19">
        <v>-1.90871700788604E-05</v>
      </c>
      <c r="GM19">
        <v>2</v>
      </c>
      <c r="GN19">
        <v>2210</v>
      </c>
      <c r="GO19">
        <v>1</v>
      </c>
      <c r="GP19">
        <v>26</v>
      </c>
      <c r="GQ19">
        <v>2.6</v>
      </c>
      <c r="GR19">
        <v>4.9</v>
      </c>
      <c r="GS19">
        <v>1.23657</v>
      </c>
      <c r="GT19">
        <v>2.34741</v>
      </c>
      <c r="GU19">
        <v>2.34741</v>
      </c>
      <c r="GV19">
        <v>2.79053</v>
      </c>
      <c r="GW19">
        <v>2.39868</v>
      </c>
      <c r="GX19">
        <v>2.20703</v>
      </c>
      <c r="GY19">
        <v>24.9183</v>
      </c>
      <c r="GZ19">
        <v>14.9288</v>
      </c>
      <c r="HA19">
        <v>18</v>
      </c>
      <c r="HB19">
        <v>464.99</v>
      </c>
      <c r="HC19">
        <v>696.6369999999999</v>
      </c>
      <c r="HD19">
        <v>18.8065</v>
      </c>
      <c r="HE19">
        <v>17.6239</v>
      </c>
      <c r="HF19">
        <v>29.9999</v>
      </c>
      <c r="HG19">
        <v>17.5343</v>
      </c>
      <c r="HH19">
        <v>17.4802</v>
      </c>
      <c r="HI19">
        <v>24.8003</v>
      </c>
      <c r="HJ19">
        <v>0</v>
      </c>
      <c r="HK19">
        <v>20</v>
      </c>
      <c r="HL19">
        <v>-999.9</v>
      </c>
      <c r="HM19">
        <v>400</v>
      </c>
      <c r="HN19">
        <v>13.0019</v>
      </c>
      <c r="HO19">
        <v>101.356</v>
      </c>
      <c r="HP19">
        <v>101.604</v>
      </c>
    </row>
    <row r="20" spans="1:224">
      <c r="A20">
        <v>4</v>
      </c>
      <c r="B20">
        <v>1750621643</v>
      </c>
      <c r="C20">
        <v>597.4000000953674</v>
      </c>
      <c r="D20" t="s">
        <v>365</v>
      </c>
      <c r="E20" t="s">
        <v>366</v>
      </c>
      <c r="F20">
        <v>15</v>
      </c>
      <c r="G20">
        <v>1750621635</v>
      </c>
      <c r="H20">
        <f>(I20)/1000</f>
        <v>0</v>
      </c>
      <c r="I20">
        <f>IF(BD20, AL20, AF20)</f>
        <v>0</v>
      </c>
      <c r="J20">
        <f>IF(BD20, AG20, AE20)</f>
        <v>0</v>
      </c>
      <c r="K20">
        <f>BF20 - IF(AS20&gt;1, J20*AZ20*100.0/(AU20), 0)</f>
        <v>0</v>
      </c>
      <c r="L20">
        <f>((R20-H20/2)*K20-J20)/(R20+H20/2)</f>
        <v>0</v>
      </c>
      <c r="M20">
        <f>L20*(BM20+BN20)/1000.0</f>
        <v>0</v>
      </c>
      <c r="N20">
        <f>(BF20 - IF(AS20&gt;1, J20*AZ20*100.0/(AU20), 0))*(BM20+BN20)/1000.0</f>
        <v>0</v>
      </c>
      <c r="O20">
        <f>2.0/((1/Q20-1/P20)+SIGN(Q20)*SQRT((1/Q20-1/P20)*(1/Q20-1/P20) + 4*BA20/((BA20+1)*(BA20+1))*(2*1/Q20*1/P20-1/P20*1/P20)))</f>
        <v>0</v>
      </c>
      <c r="P20">
        <f>IF(LEFT(BB20,1)&lt;&gt;"0",IF(LEFT(BB20,1)="1",3.0,BC20),$D$5+$E$5*(BT20*BM20/($K$5*1000))+$F$5*(BT20*BM20/($K$5*1000))*MAX(MIN(AZ20,$J$5),$I$5)*MAX(MIN(AZ20,$J$5),$I$5)+$G$5*MAX(MIN(AZ20,$J$5),$I$5)*(BT20*BM20/($K$5*1000))+$H$5*(BT20*BM20/($K$5*1000))*(BT20*BM20/($K$5*1000)))</f>
        <v>0</v>
      </c>
      <c r="Q20">
        <f>H20*(1000-(1000*0.61365*exp(17.502*U20/(240.97+U20))/(BM20+BN20)+BH20)/2)/(1000*0.61365*exp(17.502*U20/(240.97+U20))/(BM20+BN20)-BH20)</f>
        <v>0</v>
      </c>
      <c r="R20">
        <f>1/((BA20+1)/(O20/1.6)+1/(P20/1.37)) + BA20/((BA20+1)/(O20/1.6) + BA20/(P20/1.37))</f>
        <v>0</v>
      </c>
      <c r="S20">
        <f>(AV20*AY20)</f>
        <v>0</v>
      </c>
      <c r="T20">
        <f>(BO20+(S20+2*0.95*5.67E-8*(((BO20+$B$7)+273)^4-(BO20+273)^4)-44100*H20)/(1.84*29.3*P20+8*0.95*5.67E-8*(BO20+273)^3))</f>
        <v>0</v>
      </c>
      <c r="U20">
        <f>($C$7*BP20+$D$7*BQ20+$E$7*T20)</f>
        <v>0</v>
      </c>
      <c r="V20">
        <f>0.61365*exp(17.502*U20/(240.97+U20))</f>
        <v>0</v>
      </c>
      <c r="W20">
        <f>(X20/Y20*100)</f>
        <v>0</v>
      </c>
      <c r="X20">
        <f>BH20*(BM20+BN20)/1000</f>
        <v>0</v>
      </c>
      <c r="Y20">
        <f>0.61365*exp(17.502*BO20/(240.97+BO20))</f>
        <v>0</v>
      </c>
      <c r="Z20">
        <f>(V20-BH20*(BM20+BN20)/1000)</f>
        <v>0</v>
      </c>
      <c r="AA20">
        <f>(-H20*44100)</f>
        <v>0</v>
      </c>
      <c r="AB20">
        <f>2*29.3*P20*0.92*(BO20-U20)</f>
        <v>0</v>
      </c>
      <c r="AC20">
        <f>2*0.95*5.67E-8*(((BO20+$B$7)+273)^4-(U20+273)^4)</f>
        <v>0</v>
      </c>
      <c r="AD20">
        <f>S20+AC20+AA20+AB20</f>
        <v>0</v>
      </c>
      <c r="AE20">
        <f>BL20*AS20*(BG20-BF20*(1000-AS20*BI20)/(1000-AS20*BH20))/(100*AZ20)</f>
        <v>0</v>
      </c>
      <c r="AF20">
        <f>1000*BL20*AS20*(BH20-BI20)/(100*AZ20*(1000-AS20*BH20))</f>
        <v>0</v>
      </c>
      <c r="AG20">
        <f>(AH20 - AI20 - BM20*1E3/(8.314*(BO20+273.15)) * AK20/BL20 * AJ20) * BL20/(100*AZ20) * (1000 - BI20)/1000</f>
        <v>0</v>
      </c>
      <c r="AH20">
        <v>405.8277881164571</v>
      </c>
      <c r="AI20">
        <v>400.0782242424241</v>
      </c>
      <c r="AJ20">
        <v>-0.004784241711200224</v>
      </c>
      <c r="AK20">
        <v>66.97598907128321</v>
      </c>
      <c r="AL20">
        <f>(AN20 - AM20 + BM20*1E3/(8.314*(BO20+273.15)) * AP20/BL20 * AO20) * BL20/(100*AZ20) * 1000/(1000 - AN20)</f>
        <v>0</v>
      </c>
      <c r="AM20">
        <v>14.45325987826846</v>
      </c>
      <c r="AN20">
        <v>15.37780545454546</v>
      </c>
      <c r="AO20">
        <v>1.55426088889138E-05</v>
      </c>
      <c r="AP20">
        <v>79.0579913852014</v>
      </c>
      <c r="AQ20">
        <v>299</v>
      </c>
      <c r="AR20">
        <v>37</v>
      </c>
      <c r="AS20">
        <f>IF(AQ20*$H$13&gt;=AU20,1.0,(AU20/(AU20-AQ20*$H$13)))</f>
        <v>0</v>
      </c>
      <c r="AT20">
        <f>(AS20-1)*100</f>
        <v>0</v>
      </c>
      <c r="AU20">
        <f>MAX(0,($B$13+$C$13*BT20)/(1+$D$13*BT20)*BM20/(BO20+273)*$E$13)</f>
        <v>0</v>
      </c>
      <c r="AV20">
        <f>$B$11*BU20+$C$11*BV20+$F$11*CG20*(1-CJ20)</f>
        <v>0</v>
      </c>
      <c r="AW20">
        <f>AV20*AX20</f>
        <v>0</v>
      </c>
      <c r="AX20">
        <f>($B$11*$D$9+$C$11*$D$9+$F$11*((CT20+CL20)/MAX(CT20+CL20+CU20, 0.1)*$I$9+CU20/MAX(CT20+CL20+CU20, 0.1)*$J$9))/($B$11+$C$11+$F$11)</f>
        <v>0</v>
      </c>
      <c r="AY20">
        <f>($B$11*$K$9+$C$11*$K$9+$F$11*((CT20+CL20)/MAX(CT20+CL20+CU20, 0.1)*$P$9+CU20/MAX(CT20+CL20+CU20, 0.1)*$Q$9))/($B$11+$C$11+$F$11)</f>
        <v>0</v>
      </c>
      <c r="AZ20">
        <v>6</v>
      </c>
      <c r="BA20">
        <v>0.5</v>
      </c>
      <c r="BB20" t="s">
        <v>353</v>
      </c>
      <c r="BC20">
        <v>2</v>
      </c>
      <c r="BD20" t="b">
        <v>0</v>
      </c>
      <c r="BE20">
        <v>1750621635</v>
      </c>
      <c r="BF20">
        <v>393.9690967741936</v>
      </c>
      <c r="BG20">
        <v>399.9837096774193</v>
      </c>
      <c r="BH20">
        <v>15.34389354838709</v>
      </c>
      <c r="BI20">
        <v>14.45047419354839</v>
      </c>
      <c r="BJ20">
        <v>391.5440967741936</v>
      </c>
      <c r="BK20">
        <v>15.22889354838709</v>
      </c>
      <c r="BL20">
        <v>799.9730967741937</v>
      </c>
      <c r="BM20">
        <v>101.135935483871</v>
      </c>
      <c r="BN20">
        <v>0.1000595516129032</v>
      </c>
      <c r="BO20">
        <v>20.13093870967742</v>
      </c>
      <c r="BP20">
        <v>19.2155935483871</v>
      </c>
      <c r="BQ20">
        <v>999.9000000000003</v>
      </c>
      <c r="BR20">
        <v>0</v>
      </c>
      <c r="BS20">
        <v>0</v>
      </c>
      <c r="BT20">
        <v>10004.00903225806</v>
      </c>
      <c r="BU20">
        <v>0</v>
      </c>
      <c r="BV20">
        <v>0.00152894</v>
      </c>
      <c r="BW20">
        <v>-5.978587419354839</v>
      </c>
      <c r="BX20">
        <v>400.1563870967742</v>
      </c>
      <c r="BY20">
        <v>405.8483548387097</v>
      </c>
      <c r="BZ20">
        <v>0.9218764193548388</v>
      </c>
      <c r="CA20">
        <v>399.9837096774193</v>
      </c>
      <c r="CB20">
        <v>14.45047419354839</v>
      </c>
      <c r="CC20">
        <v>1.554697096774193</v>
      </c>
      <c r="CD20">
        <v>1.461463225806452</v>
      </c>
      <c r="CE20">
        <v>13.51695806451613</v>
      </c>
      <c r="CF20">
        <v>12.57082580645161</v>
      </c>
      <c r="CG20">
        <v>999.9874193548387</v>
      </c>
      <c r="CH20">
        <v>0.9600138387096774</v>
      </c>
      <c r="CI20">
        <v>0.0399859612903226</v>
      </c>
      <c r="CJ20">
        <v>0</v>
      </c>
      <c r="CK20">
        <v>1.444677419354839</v>
      </c>
      <c r="CL20">
        <v>0</v>
      </c>
      <c r="CM20">
        <v>6855.550322580646</v>
      </c>
      <c r="CN20">
        <v>7946.861935483872</v>
      </c>
      <c r="CO20">
        <v>39.75</v>
      </c>
      <c r="CP20">
        <v>41.21341935483871</v>
      </c>
      <c r="CQ20">
        <v>40.74593548387097</v>
      </c>
      <c r="CR20">
        <v>41.93699999999998</v>
      </c>
      <c r="CS20">
        <v>39.15499999999999</v>
      </c>
      <c r="CT20">
        <v>960.0029032258066</v>
      </c>
      <c r="CU20">
        <v>39.98709677419355</v>
      </c>
      <c r="CV20">
        <v>0</v>
      </c>
      <c r="CW20">
        <v>1750621660.9</v>
      </c>
      <c r="CX20">
        <v>0</v>
      </c>
      <c r="CY20">
        <v>1750621666</v>
      </c>
      <c r="CZ20" t="s">
        <v>367</v>
      </c>
      <c r="DA20">
        <v>1750621660</v>
      </c>
      <c r="DB20">
        <v>1750621666</v>
      </c>
      <c r="DC20">
        <v>8</v>
      </c>
      <c r="DD20">
        <v>-0.033</v>
      </c>
      <c r="DE20">
        <v>-0.001</v>
      </c>
      <c r="DF20">
        <v>2.425</v>
      </c>
      <c r="DG20">
        <v>0.115</v>
      </c>
      <c r="DH20">
        <v>400</v>
      </c>
      <c r="DI20">
        <v>14</v>
      </c>
      <c r="DJ20">
        <v>0.27</v>
      </c>
      <c r="DK20">
        <v>0.1</v>
      </c>
      <c r="DL20">
        <v>-5.953100000000001</v>
      </c>
      <c r="DM20">
        <v>-0.6094926078799247</v>
      </c>
      <c r="DN20">
        <v>0.06257100506624447</v>
      </c>
      <c r="DO20">
        <v>0</v>
      </c>
      <c r="DP20">
        <v>0.921260925</v>
      </c>
      <c r="DQ20">
        <v>0.014387606003752</v>
      </c>
      <c r="DR20">
        <v>0.001745340001081451</v>
      </c>
      <c r="DS20">
        <v>1</v>
      </c>
      <c r="DT20">
        <v>1</v>
      </c>
      <c r="DU20">
        <v>2</v>
      </c>
      <c r="DV20" t="s">
        <v>355</v>
      </c>
      <c r="DW20">
        <v>3.448</v>
      </c>
      <c r="DX20">
        <v>2.78081</v>
      </c>
      <c r="DY20">
        <v>0.0966639</v>
      </c>
      <c r="DZ20">
        <v>0.0981976</v>
      </c>
      <c r="EA20">
        <v>0.0878133</v>
      </c>
      <c r="EB20">
        <v>0.0837884</v>
      </c>
      <c r="EC20">
        <v>27478.3</v>
      </c>
      <c r="ED20">
        <v>31188.1</v>
      </c>
      <c r="EE20">
        <v>29525.2</v>
      </c>
      <c r="EF20">
        <v>35147.1</v>
      </c>
      <c r="EG20">
        <v>31137.4</v>
      </c>
      <c r="EH20">
        <v>39988.7</v>
      </c>
      <c r="EI20">
        <v>36346.4</v>
      </c>
      <c r="EJ20">
        <v>46548.5</v>
      </c>
      <c r="EK20">
        <v>2.13003</v>
      </c>
      <c r="EL20">
        <v>2.40305</v>
      </c>
      <c r="EM20">
        <v>0.09939820000000001</v>
      </c>
      <c r="EN20">
        <v>0</v>
      </c>
      <c r="EO20">
        <v>17.6024</v>
      </c>
      <c r="EP20">
        <v>999.9</v>
      </c>
      <c r="EQ20">
        <v>59.8</v>
      </c>
      <c r="ER20">
        <v>20.5</v>
      </c>
      <c r="ES20">
        <v>14.3109</v>
      </c>
      <c r="ET20">
        <v>60.8901</v>
      </c>
      <c r="EU20">
        <v>27.2796</v>
      </c>
      <c r="EV20">
        <v>2</v>
      </c>
      <c r="EW20">
        <v>-0.722515</v>
      </c>
      <c r="EX20">
        <v>0</v>
      </c>
      <c r="EY20">
        <v>20.2928</v>
      </c>
      <c r="EZ20">
        <v>5.21609</v>
      </c>
      <c r="FA20">
        <v>11.968</v>
      </c>
      <c r="FB20">
        <v>4.9919</v>
      </c>
      <c r="FC20">
        <v>3.27195</v>
      </c>
      <c r="FD20">
        <v>2535.4</v>
      </c>
      <c r="FE20">
        <v>9999</v>
      </c>
      <c r="FF20">
        <v>9999</v>
      </c>
      <c r="FG20">
        <v>999.9</v>
      </c>
      <c r="FH20">
        <v>4.97253</v>
      </c>
      <c r="FI20">
        <v>1.86207</v>
      </c>
      <c r="FJ20">
        <v>1.86375</v>
      </c>
      <c r="FK20">
        <v>1.86218</v>
      </c>
      <c r="FL20">
        <v>1.86224</v>
      </c>
      <c r="FM20">
        <v>1.8629</v>
      </c>
      <c r="FN20">
        <v>1.85943</v>
      </c>
      <c r="FO20">
        <v>1.8622</v>
      </c>
      <c r="FP20">
        <v>0</v>
      </c>
      <c r="FQ20">
        <v>0</v>
      </c>
      <c r="FR20">
        <v>0</v>
      </c>
      <c r="FS20">
        <v>0</v>
      </c>
      <c r="FT20" t="s">
        <v>356</v>
      </c>
      <c r="FU20" t="s">
        <v>357</v>
      </c>
      <c r="FV20" t="s">
        <v>358</v>
      </c>
      <c r="FW20" t="s">
        <v>358</v>
      </c>
      <c r="FX20" t="s">
        <v>358</v>
      </c>
      <c r="FY20" t="s">
        <v>358</v>
      </c>
      <c r="FZ20">
        <v>0</v>
      </c>
      <c r="GA20">
        <v>100</v>
      </c>
      <c r="GB20">
        <v>100</v>
      </c>
      <c r="GC20">
        <v>2.425</v>
      </c>
      <c r="GD20">
        <v>0.115</v>
      </c>
      <c r="GE20">
        <v>2.739451423759863</v>
      </c>
      <c r="GF20">
        <v>-0.001033730503750798</v>
      </c>
      <c r="GG20">
        <v>9.120241388950126E-07</v>
      </c>
      <c r="GH20">
        <v>-2.246115299815222E-10</v>
      </c>
      <c r="GI20">
        <v>0.002076454077587706</v>
      </c>
      <c r="GJ20">
        <v>-0.01814858093373864</v>
      </c>
      <c r="GK20">
        <v>0.002091959988359369</v>
      </c>
      <c r="GL20">
        <v>-1.90871700788604E-05</v>
      </c>
      <c r="GM20">
        <v>2</v>
      </c>
      <c r="GN20">
        <v>2210</v>
      </c>
      <c r="GO20">
        <v>1</v>
      </c>
      <c r="GP20">
        <v>26</v>
      </c>
      <c r="GQ20">
        <v>4.4</v>
      </c>
      <c r="GR20">
        <v>9.6</v>
      </c>
      <c r="GS20">
        <v>1.23657</v>
      </c>
      <c r="GT20">
        <v>2.35352</v>
      </c>
      <c r="GU20">
        <v>2.34741</v>
      </c>
      <c r="GV20">
        <v>2.79175</v>
      </c>
      <c r="GW20">
        <v>2.39868</v>
      </c>
      <c r="GX20">
        <v>2.23999</v>
      </c>
      <c r="GY20">
        <v>24.9796</v>
      </c>
      <c r="GZ20">
        <v>14.8938</v>
      </c>
      <c r="HA20">
        <v>18</v>
      </c>
      <c r="HB20">
        <v>470.677</v>
      </c>
      <c r="HC20">
        <v>696.148</v>
      </c>
      <c r="HD20">
        <v>18.783</v>
      </c>
      <c r="HE20">
        <v>17.5632</v>
      </c>
      <c r="HF20">
        <v>29.9999</v>
      </c>
      <c r="HG20">
        <v>17.4653</v>
      </c>
      <c r="HH20">
        <v>17.4095</v>
      </c>
      <c r="HI20">
        <v>24.8161</v>
      </c>
      <c r="HJ20">
        <v>0</v>
      </c>
      <c r="HK20">
        <v>20</v>
      </c>
      <c r="HL20">
        <v>-999.9</v>
      </c>
      <c r="HM20">
        <v>400</v>
      </c>
      <c r="HN20">
        <v>13.0019</v>
      </c>
      <c r="HO20">
        <v>101.374</v>
      </c>
      <c r="HP20">
        <v>101.616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2025-06-21T19:47:25Z</dcterms:created>
  <dcterms:modified xsi:type="dcterms:W3CDTF">2025-06-21T19:47:25Z</dcterms:modified>
</cp:coreProperties>
</file>