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<sst xmlns="http://schemas.openxmlformats.org/spreadsheetml/2006/main" count="1381" uniqueCount="469">
  <si>
    <t>File opened</t>
  </si>
  <si>
    <t>2025-06-25 09:48:17</t>
  </si>
  <si>
    <t>Console s/n</t>
  </si>
  <si>
    <t>68C-373361</t>
  </si>
  <si>
    <t>Console ver</t>
  </si>
  <si>
    <t>Bluestem v.2.1.11</t>
  </si>
  <si>
    <t>Scripts ver</t>
  </si>
  <si>
    <t>2023.02  2.1.11, Jun 2023</t>
  </si>
  <si>
    <t>Head s/n</t>
  </si>
  <si>
    <t>68H-413349</t>
  </si>
  <si>
    <t>Head ver</t>
  </si>
  <si>
    <t>1.4.23</t>
  </si>
  <si>
    <t>Head cal</t>
  </si>
  <si>
    <t>{"oxygen": "21", "co2azero": "0.969074", "co2aspan1": "1.00145", "co2aspan2": "-0.0293323", "co2aspan2a": "0.301932", "co2aspan2b": "0.299696", "co2aspanconc1": "2514", "co2aspanconc2": "296", "co2bzero": "1.01429", "co2bspan1": "1.00098", "co2bspan2": "-0.0286123", "co2bspan2a": "0.301091", "co2bspan2b": "0.298791", "co2bspanconc1": "2514", "co2bspanconc2": "296", "h2oazero": "1.06321", "h2oaspan1": "1.00793", "h2oaspan2": "0", "h2oaspan2a": "0.0675942", "h2oaspan2b": "0.0681305", "h2oaspanconc1": "11.66", "h2oaspanconc2": "0", "h2obzero": "1.06542", "h2obspan1": "1.00196", "h2obspan2": "0", "h2obspan2a": "0.0672478", "h2obspan2b": "0.0673797", "h2obspanconc1": "11.66", "h2obspanconc2": "0", "tazero": "0.100885", "tbzero": "0.175728", "flowmeterzero": "2.47802", "flowazero": "0.30464", "flowbzero": "0.31984", "chamberpressurezero": "2.62921", "ssa_ref": "32489.3", "ssb_ref": "40198.1"}</t>
  </si>
  <si>
    <t>Factory cal date</t>
  </si>
  <si>
    <t>02 May 2024</t>
  </si>
  <si>
    <t>CO2 rangematch</t>
  </si>
  <si>
    <t>Tue May  7 10:16</t>
  </si>
  <si>
    <t>H2O rangematch</t>
  </si>
  <si>
    <t>Tue May  7 10:10</t>
  </si>
  <si>
    <t>Chamber type</t>
  </si>
  <si>
    <t>6800-01A</t>
  </si>
  <si>
    <t>Chamber s/n</t>
  </si>
  <si>
    <t>MPF-742800</t>
  </si>
  <si>
    <t>Chamber rev</t>
  </si>
  <si>
    <t>0</t>
  </si>
  <si>
    <t>Chamber cal</t>
  </si>
  <si>
    <t>Fluorometer</t>
  </si>
  <si>
    <t>Flr. Version</t>
  </si>
  <si>
    <t>09:48:17</t>
  </si>
  <si>
    <t>Stability Definition:	ΔCO2 (Meas2): Slp&lt;0.1 Per=20	ΔH2O (Meas2): Slp&lt;0.1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</si>
  <si>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</si>
  <si>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</si>
  <si>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</si>
  <si>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</si>
  <si>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</si>
  <si>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</si>
  <si>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</si>
  <si>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</si>
  <si>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</si>
  <si>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</si>
  <si>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</si>
  <si>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</si>
  <si>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</si>
  <si>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</si>
  <si>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</si>
  <si>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</si>
  <si>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</si>
  <si>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</si>
  <si>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</si>
  <si>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</si>
  <si>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</si>
  <si>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</si>
  <si>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</si>
  <si>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</si>
  <si>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</si>
  <si>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</si>
  <si>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</si>
  <si>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</si>
  <si>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</si>
  <si>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</si>
  <si>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</si>
  <si>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</si>
  <si>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</si>
  <si>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</si>
  <si>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</si>
  <si>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</si>
  <si>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</si>
  <si>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</si>
  <si>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</si>
  <si>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</si>
  <si>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</si>
  <si>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</si>
  <si>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</si>
  <si>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</si>
  <si>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</si>
  <si>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</si>
  <si>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</si>
  <si>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</si>
  <si>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</si>
  <si>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</si>
  <si>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</si>
  <si>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</si>
  <si>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-0.359934 192.116 343.738 559.172 829.429 1034.01 1216.05 1362.1</t>
  </si>
  <si>
    <t>Fs_true</t>
  </si>
  <si>
    <t>0.318002 221.088 385.957 587.927 811.066 1001.59 1201.91 1400.63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</si>
  <si>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</si>
  <si>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</si>
  <si>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</si>
  <si>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</si>
  <si>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</si>
  <si>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</si>
  <si>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</si>
  <si>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</si>
  <si>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</si>
  <si>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FlrLS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</si>
  <si>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</si>
  <si>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</si>
  <si>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</si>
  <si>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</si>
  <si>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</si>
  <si>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</si>
  <si>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</si>
  <si>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</si>
  <si>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</si>
  <si>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</si>
  <si>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</si>
  <si>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</si>
  <si>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</si>
  <si>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</si>
  <si>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</si>
  <si>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</si>
  <si>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</si>
  <si>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</si>
  <si>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</si>
  <si>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</si>
  <si>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</si>
  <si>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</si>
  <si>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</si>
  <si>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</si>
  <si>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</si>
  <si>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</si>
  <si>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</si>
  <si>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</si>
  <si>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</si>
  <si>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</si>
  <si>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</si>
  <si>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</si>
  <si>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</si>
  <si>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</si>
  <si>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</si>
  <si>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</si>
  <si>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</si>
  <si>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</si>
  <si>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</si>
  <si>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</si>
  <si>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</si>
  <si>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</si>
  <si>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</si>
  <si>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</si>
  <si>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</si>
  <si>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</si>
  <si>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</si>
  <si>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</si>
  <si>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</si>
  <si>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</si>
  <si>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</si>
  <si>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</si>
  <si>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</si>
  <si>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</si>
  <si>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</si>
  <si>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</si>
  <si>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</si>
  <si>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</si>
  <si>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</si>
  <si>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</si>
  <si>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</si>
  <si>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</si>
  <si>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</si>
  <si>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</si>
  <si>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</si>
  <si>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</si>
  <si>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</si>
  <si>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</si>
  <si>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</si>
  <si>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</si>
  <si>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</si>
  <si>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</si>
  <si>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</si>
  <si>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</si>
  <si>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</si>
  <si>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</si>
  <si>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</si>
  <si>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</si>
  <si>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</si>
  <si>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</si>
  <si>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</si>
  <si>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</si>
  <si>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</si>
  <si>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</si>
  <si>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</si>
  <si>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</si>
  <si>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</si>
  <si>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</si>
  <si>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</si>
  <si>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</si>
  <si>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</si>
  <si>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</si>
  <si>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</si>
  <si>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</si>
  <si>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</si>
  <si>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</si>
  <si>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</si>
  <si>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</si>
  <si>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</si>
  <si>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</si>
  <si>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</si>
  <si>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</si>
  <si>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</si>
  <si>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</si>
  <si>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</si>
  <si>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</si>
  <si>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</si>
  <si>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</si>
  <si>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</si>
  <si>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</si>
  <si>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</si>
  <si>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</si>
  <si>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</si>
  <si>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</si>
  <si>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</si>
  <si>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</si>
  <si>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</si>
  <si>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</si>
  <si>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</si>
  <si>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</si>
  <si>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</si>
  <si>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</si>
  <si>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</si>
  <si>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</si>
  <si>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</si>
  <si>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</si>
  <si>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</si>
  <si>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</si>
  <si>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</si>
  <si>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</si>
  <si>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</si>
  <si>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</si>
  <si>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</si>
  <si>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</si>
  <si>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</si>
  <si>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</si>
  <si>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</si>
  <si>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</si>
  <si>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</si>
  <si>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</si>
  <si>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</si>
  <si>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</si>
  <si>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</si>
  <si>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</si>
  <si>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</si>
  <si>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</si>
  <si>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</si>
  <si>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</si>
  <si>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</si>
  <si>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</si>
  <si>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</si>
  <si>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</si>
  <si>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</si>
  <si>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</si>
  <si>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</si>
  <si>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</si>
  <si>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</si>
  <si>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</si>
  <si>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</si>
  <si>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</si>
  <si>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</si>
  <si>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</si>
  <si>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</si>
  <si>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</si>
  <si>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</si>
  <si>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</si>
  <si>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</si>
  <si>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</si>
  <si>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</si>
  <si>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</si>
  <si>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</si>
  <si>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</si>
  <si>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</si>
  <si>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</si>
  <si>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</si>
  <si>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</si>
  <si>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</si>
  <si>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</si>
  <si>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</si>
  <si>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</si>
  <si>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</si>
  <si>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</si>
  <si>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</si>
  <si>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</si>
  <si>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</si>
  <si>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</si>
  <si>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</si>
  <si>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</si>
  <si>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</si>
  <si>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</si>
  <si>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</si>
  <si>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</si>
  <si>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</si>
  <si>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</si>
  <si>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</si>
  <si>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</si>
  <si>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</si>
  <si>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</si>
  <si>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</si>
  <si>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</si>
  <si>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</si>
  <si>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</si>
  <si>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</si>
  <si>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</si>
  <si>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</si>
  <si>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</si>
  <si>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</si>
  <si>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</si>
  <si>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</si>
  <si>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</si>
  <si>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</si>
  <si>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</si>
  <si>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</si>
  <si>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</si>
  <si>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</si>
  <si>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</si>
  <si>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</si>
  <si>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</si>
  <si>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</si>
  <si>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</si>
  <si>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</si>
  <si>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</si>
  <si>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</si>
  <si>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</si>
  <si>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</si>
  <si>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</si>
  <si>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</si>
  <si>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</si>
  <si>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</si>
  <si>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</si>
  <si>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</si>
  <si>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</si>
  <si>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</si>
  <si>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</si>
  <si>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</si>
  <si>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</si>
  <si>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</si>
  <si>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</si>
  <si>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</si>
  <si>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</si>
  <si>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</si>
  <si>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</si>
  <si>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</si>
  <si>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</si>
  <si>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</si>
  <si>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</si>
  <si>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</si>
  <si>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</si>
  <si>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</si>
  <si>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</si>
  <si>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</si>
  <si>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</si>
  <si>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</si>
  <si>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</si>
  <si>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</si>
  <si>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20250626 10:01:11</t>
  </si>
  <si>
    <t>10:01:11</t>
  </si>
  <si>
    <t>1: Needles</t>
  </si>
  <si>
    <t>10:01:29</t>
  </si>
  <si>
    <t>1/2</t>
  </si>
  <si>
    <t>11111111</t>
  </si>
  <si>
    <t>oooooooo</t>
  </si>
  <si>
    <t>on</t>
  </si>
  <si>
    <t>20250626 10:03:11</t>
  </si>
  <si>
    <t>10:03:11</t>
  </si>
  <si>
    <t>10:03:30</t>
  </si>
  <si>
    <t>0/2</t>
  </si>
  <si>
    <t>20250626 10:06:22</t>
  </si>
  <si>
    <t>10:06:22</t>
  </si>
  <si>
    <t>10:06:39</t>
  </si>
  <si>
    <t>20250626 10:09:27</t>
  </si>
  <si>
    <t>10:09:27</t>
  </si>
  <si>
    <t>10:09:44</t>
  </si>
  <si>
    <t>20250626 10:12:24</t>
  </si>
  <si>
    <t>10:12:24</t>
  </si>
  <si>
    <t>10:12:46</t>
  </si>
  <si>
    <t>20250626 10:14:59</t>
  </si>
  <si>
    <t>10:14:59</t>
  </si>
  <si>
    <t>10:15:19</t>
  </si>
  <si>
    <t>20250626 10:16:54</t>
  </si>
  <si>
    <t>10:16:54</t>
  </si>
  <si>
    <t>10:17:15</t>
  </si>
  <si>
    <t>20250626 10:19:02</t>
  </si>
  <si>
    <t>10:19:02</t>
  </si>
  <si>
    <t>10:19:19</t>
  </si>
  <si>
    <t>20250626 10:21:17</t>
  </si>
  <si>
    <t>10:21:17</t>
  </si>
  <si>
    <t>10:21:34</t>
  </si>
  <si>
    <t>20250626 10:23:15</t>
  </si>
  <si>
    <t>10:23:15</t>
  </si>
  <si>
    <t>10:23:32</t>
  </si>
  <si>
    <t>20250626 10:26:30</t>
  </si>
  <si>
    <t>10:26:30</t>
  </si>
  <si>
    <t>10:26:56</t>
  </si>
  <si>
    <t>20250626 10:28:47</t>
  </si>
  <si>
    <t>10:28:47</t>
  </si>
  <si>
    <t>10:29:04</t>
  </si>
  <si>
    <t>20250626 10:30:54</t>
  </si>
  <si>
    <t>10:30:54</t>
  </si>
  <si>
    <t>10:31:15</t>
  </si>
  <si>
    <t>20250626 10:32:55</t>
  </si>
  <si>
    <t>10:32:55</t>
  </si>
  <si>
    <t>10:33:12</t>
  </si>
  <si>
    <t>20250626 10:35:01</t>
  </si>
  <si>
    <t>10:35:01</t>
  </si>
  <si>
    <t>10:35:25</t>
  </si>
  <si>
    <t>20250626 10:37:10</t>
  </si>
  <si>
    <t>10:37:10</t>
  </si>
  <si>
    <t>10:37:32</t>
  </si>
  <si>
    <t>20250626 10:39:17</t>
  </si>
  <si>
    <t>10:39:17</t>
  </si>
  <si>
    <t>10:39:35</t>
  </si>
  <si>
    <t>20250626 10:41:50</t>
  </si>
  <si>
    <t>10:41:50</t>
  </si>
  <si>
    <t>10:42:09</t>
  </si>
  <si>
    <t>20250626 10:43:58</t>
  </si>
  <si>
    <t>10:43:58</t>
  </si>
  <si>
    <t>10:44:20</t>
  </si>
  <si>
    <t>20250626 10:46:44</t>
  </si>
  <si>
    <t>10:46:44</t>
  </si>
  <si>
    <t>10:47:09</t>
  </si>
  <si>
    <t>20250626 10:48:39</t>
  </si>
  <si>
    <t>10:48:39</t>
  </si>
  <si>
    <t>10:48:56</t>
  </si>
  <si>
    <t>20250626 10:50:35</t>
  </si>
  <si>
    <t>10:50:35</t>
  </si>
  <si>
    <t>10:50:52</t>
  </si>
  <si>
    <t>20250626 10:52:14</t>
  </si>
  <si>
    <t>10:52:14</t>
  </si>
  <si>
    <t>10:52:34</t>
  </si>
  <si>
    <t>20250626 10:54:27</t>
  </si>
  <si>
    <t>10:54:27</t>
  </si>
  <si>
    <t>10:54:49</t>
  </si>
  <si>
    <t>2/2</t>
  </si>
  <si>
    <t>20250626 10:56:09</t>
  </si>
  <si>
    <t>10:56:09</t>
  </si>
  <si>
    <t>10:56:26</t>
  </si>
  <si>
    <t>20250626 10:58:26</t>
  </si>
  <si>
    <t>10:58:26</t>
  </si>
  <si>
    <t>10:58:42</t>
  </si>
  <si>
    <t>20250626 11:00:29</t>
  </si>
  <si>
    <t>11:00:29</t>
  </si>
  <si>
    <t>11:00:48</t>
  </si>
  <si>
    <t>20250626 11:03:31</t>
  </si>
  <si>
    <t>11:03:31</t>
  </si>
  <si>
    <t>11:03:51</t>
  </si>
  <si>
    <t>20250626 11:06:04</t>
  </si>
  <si>
    <t>11:06:04</t>
  </si>
  <si>
    <t>11:06:24</t>
  </si>
  <si>
    <t>20250626 11:08:24</t>
  </si>
  <si>
    <t>11:08:24</t>
  </si>
  <si>
    <t>11:08:43</t>
  </si>
  <si>
    <t>20250626 11:10:27</t>
  </si>
  <si>
    <t>11:10:27</t>
  </si>
  <si>
    <t>11:10:47</t>
  </si>
  <si>
    <t>20250626 11:13:08</t>
  </si>
  <si>
    <t>11:13:08</t>
  </si>
  <si>
    <t>11:13:25</t>
  </si>
  <si>
    <t>20250626 11:15:45</t>
  </si>
  <si>
    <t>11:15:45</t>
  </si>
  <si>
    <t>11:16:03</t>
  </si>
  <si>
    <t>20250626 11:18:26</t>
  </si>
  <si>
    <t>11:18:26</t>
  </si>
  <si>
    <t>11:18:45</t>
  </si>
  <si>
    <t>20250626 11:20:25</t>
  </si>
  <si>
    <t>11:20:25</t>
  </si>
  <si>
    <t>11:20:42</t>
  </si>
  <si>
    <t>20250626 11:22:26</t>
  </si>
  <si>
    <t>11:22:26</t>
  </si>
  <si>
    <t>11:22:50</t>
  </si>
  <si>
    <t>20250626 11:24:27</t>
  </si>
  <si>
    <t>11:24:27</t>
  </si>
  <si>
    <t>11:24:44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</si>
</sst>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P53"/>
  <sheetViews>
    <sheetView tabSelected="1" workbookViewId="0"/>
  </sheetViews>
  <sheetFormatPr defaultRowHeight="15"/>
  <sheetData>
    <row r="2" spans="1:224">
      <c r="A2" t="s">
        <v>31</v>
      </c>
      <c r="B2" t="s">
        <v>32</v>
      </c>
      <c r="C2" t="s">
        <v>34</v>
      </c>
    </row>
    <row r="3" spans="1:224">
      <c r="B3" t="s">
        <v>33</v>
      </c>
      <c r="C3">
        <v>21</v>
      </c>
    </row>
    <row r="4" spans="1:224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24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24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24">
      <c r="B7">
        <v>0</v>
      </c>
      <c r="C7">
        <v>1</v>
      </c>
      <c r="D7">
        <v>0</v>
      </c>
      <c r="E7">
        <v>0</v>
      </c>
    </row>
    <row r="8" spans="1:224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24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24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24">
      <c r="B11">
        <v>0</v>
      </c>
      <c r="C11">
        <v>0</v>
      </c>
      <c r="D11">
        <v>0</v>
      </c>
      <c r="E11">
        <v>0</v>
      </c>
      <c r="F11">
        <v>1</v>
      </c>
    </row>
    <row r="12" spans="1:224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24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24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99</v>
      </c>
      <c r="EP14" t="s">
        <v>99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100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101</v>
      </c>
      <c r="GB14" t="s">
        <v>101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</row>
    <row r="15" spans="1:224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117</v>
      </c>
      <c r="O15" t="s">
        <v>118</v>
      </c>
      <c r="P15" t="s">
        <v>119</v>
      </c>
      <c r="Q15" t="s">
        <v>120</v>
      </c>
      <c r="R15" t="s">
        <v>121</v>
      </c>
      <c r="S15" t="s">
        <v>122</v>
      </c>
      <c r="T15" t="s">
        <v>123</v>
      </c>
      <c r="U15" t="s">
        <v>124</v>
      </c>
      <c r="V15" t="s">
        <v>125</v>
      </c>
      <c r="W15" t="s">
        <v>126</v>
      </c>
      <c r="X15" t="s">
        <v>127</v>
      </c>
      <c r="Y15" t="s">
        <v>128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90</v>
      </c>
      <c r="AR15" t="s">
        <v>146</v>
      </c>
      <c r="AS15" t="s">
        <v>147</v>
      </c>
      <c r="AT15" t="s">
        <v>148</v>
      </c>
      <c r="AU15" t="s">
        <v>149</v>
      </c>
      <c r="AV15" t="s">
        <v>150</v>
      </c>
      <c r="AW15" t="s">
        <v>151</v>
      </c>
      <c r="AX15" t="s">
        <v>152</v>
      </c>
      <c r="AY15" t="s">
        <v>153</v>
      </c>
      <c r="AZ15" t="s">
        <v>154</v>
      </c>
      <c r="BA15" t="s">
        <v>155</v>
      </c>
      <c r="BB15" t="s">
        <v>156</v>
      </c>
      <c r="BC15" t="s">
        <v>157</v>
      </c>
      <c r="BD15" t="s">
        <v>158</v>
      </c>
      <c r="BE15" t="s">
        <v>110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105</v>
      </c>
      <c r="CZ15" t="s">
        <v>108</v>
      </c>
      <c r="DA15" t="s">
        <v>204</v>
      </c>
      <c r="DB15" t="s">
        <v>205</v>
      </c>
      <c r="DC15" t="s">
        <v>206</v>
      </c>
      <c r="DD15" t="s">
        <v>207</v>
      </c>
      <c r="DE15" t="s">
        <v>208</v>
      </c>
      <c r="DF15" t="s">
        <v>209</v>
      </c>
      <c r="DG15" t="s">
        <v>210</v>
      </c>
      <c r="DH15" t="s">
        <v>211</v>
      </c>
      <c r="DI15" t="s">
        <v>212</v>
      </c>
      <c r="DJ15" t="s">
        <v>213</v>
      </c>
      <c r="DK15" t="s">
        <v>214</v>
      </c>
      <c r="DL15" t="s">
        <v>215</v>
      </c>
      <c r="DM15" t="s">
        <v>216</v>
      </c>
      <c r="DN15" t="s">
        <v>217</v>
      </c>
      <c r="DO15" t="s">
        <v>218</v>
      </c>
      <c r="DP15" t="s">
        <v>219</v>
      </c>
      <c r="DQ15" t="s">
        <v>220</v>
      </c>
      <c r="DR15" t="s">
        <v>221</v>
      </c>
      <c r="DS15" t="s">
        <v>222</v>
      </c>
      <c r="DT15" t="s">
        <v>223</v>
      </c>
      <c r="DU15" t="s">
        <v>224</v>
      </c>
      <c r="DV15" t="s">
        <v>225</v>
      </c>
      <c r="DW15" t="s">
        <v>226</v>
      </c>
      <c r="DX15" t="s">
        <v>227</v>
      </c>
      <c r="DY15" t="s">
        <v>228</v>
      </c>
      <c r="DZ15" t="s">
        <v>229</v>
      </c>
      <c r="EA15" t="s">
        <v>230</v>
      </c>
      <c r="EB15" t="s">
        <v>231</v>
      </c>
      <c r="EC15" t="s">
        <v>232</v>
      </c>
      <c r="ED15" t="s">
        <v>233</v>
      </c>
      <c r="EE15" t="s">
        <v>234</v>
      </c>
      <c r="EF15" t="s">
        <v>235</v>
      </c>
      <c r="EG15" t="s">
        <v>236</v>
      </c>
      <c r="EH15" t="s">
        <v>237</v>
      </c>
      <c r="EI15" t="s">
        <v>238</v>
      </c>
      <c r="EJ15" t="s">
        <v>239</v>
      </c>
      <c r="EK15" t="s">
        <v>240</v>
      </c>
      <c r="EL15" t="s">
        <v>241</v>
      </c>
      <c r="EM15" t="s">
        <v>242</v>
      </c>
      <c r="EN15" t="s">
        <v>243</v>
      </c>
      <c r="EO15" t="s">
        <v>244</v>
      </c>
      <c r="EP15" t="s">
        <v>245</v>
      </c>
      <c r="EQ15" t="s">
        <v>246</v>
      </c>
      <c r="ER15" t="s">
        <v>247</v>
      </c>
      <c r="ES15" t="s">
        <v>248</v>
      </c>
      <c r="ET15" t="s">
        <v>249</v>
      </c>
      <c r="EU15" t="s">
        <v>250</v>
      </c>
      <c r="EV15" t="s">
        <v>251</v>
      </c>
      <c r="EW15" t="s">
        <v>252</v>
      </c>
      <c r="EX15" t="s">
        <v>253</v>
      </c>
      <c r="EY15" t="s">
        <v>254</v>
      </c>
      <c r="EZ15" t="s">
        <v>255</v>
      </c>
      <c r="FA15" t="s">
        <v>256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</row>
    <row r="16" spans="1:224">
      <c r="B16" t="s">
        <v>324</v>
      </c>
      <c r="C16" t="s">
        <v>324</v>
      </c>
      <c r="F16" t="s">
        <v>324</v>
      </c>
      <c r="G16" t="s">
        <v>324</v>
      </c>
      <c r="H16" t="s">
        <v>325</v>
      </c>
      <c r="I16" t="s">
        <v>326</v>
      </c>
      <c r="J16" t="s">
        <v>327</v>
      </c>
      <c r="K16" t="s">
        <v>328</v>
      </c>
      <c r="L16" t="s">
        <v>328</v>
      </c>
      <c r="M16" t="s">
        <v>166</v>
      </c>
      <c r="N16" t="s">
        <v>166</v>
      </c>
      <c r="O16" t="s">
        <v>325</v>
      </c>
      <c r="P16" t="s">
        <v>325</v>
      </c>
      <c r="Q16" t="s">
        <v>325</v>
      </c>
      <c r="R16" t="s">
        <v>325</v>
      </c>
      <c r="S16" t="s">
        <v>329</v>
      </c>
      <c r="T16" t="s">
        <v>330</v>
      </c>
      <c r="U16" t="s">
        <v>330</v>
      </c>
      <c r="V16" t="s">
        <v>331</v>
      </c>
      <c r="W16" t="s">
        <v>332</v>
      </c>
      <c r="X16" t="s">
        <v>331</v>
      </c>
      <c r="Y16" t="s">
        <v>331</v>
      </c>
      <c r="Z16" t="s">
        <v>331</v>
      </c>
      <c r="AA16" t="s">
        <v>329</v>
      </c>
      <c r="AB16" t="s">
        <v>329</v>
      </c>
      <c r="AC16" t="s">
        <v>329</v>
      </c>
      <c r="AD16" t="s">
        <v>329</v>
      </c>
      <c r="AE16" t="s">
        <v>327</v>
      </c>
      <c r="AF16" t="s">
        <v>326</v>
      </c>
      <c r="AG16" t="s">
        <v>327</v>
      </c>
      <c r="AH16" t="s">
        <v>328</v>
      </c>
      <c r="AI16" t="s">
        <v>328</v>
      </c>
      <c r="AJ16" t="s">
        <v>333</v>
      </c>
      <c r="AK16" t="s">
        <v>334</v>
      </c>
      <c r="AL16" t="s">
        <v>326</v>
      </c>
      <c r="AM16" t="s">
        <v>335</v>
      </c>
      <c r="AN16" t="s">
        <v>335</v>
      </c>
      <c r="AO16" t="s">
        <v>336</v>
      </c>
      <c r="AP16" t="s">
        <v>334</v>
      </c>
      <c r="AQ16" t="s">
        <v>337</v>
      </c>
      <c r="AR16" t="s">
        <v>332</v>
      </c>
      <c r="AT16" t="s">
        <v>332</v>
      </c>
      <c r="AU16" t="s">
        <v>337</v>
      </c>
      <c r="AV16" t="s">
        <v>327</v>
      </c>
      <c r="AW16" t="s">
        <v>327</v>
      </c>
      <c r="AY16" t="s">
        <v>338</v>
      </c>
      <c r="AZ16" t="s">
        <v>339</v>
      </c>
      <c r="BC16" t="s">
        <v>325</v>
      </c>
      <c r="BE16" t="s">
        <v>324</v>
      </c>
      <c r="BF16" t="s">
        <v>328</v>
      </c>
      <c r="BG16" t="s">
        <v>328</v>
      </c>
      <c r="BH16" t="s">
        <v>335</v>
      </c>
      <c r="BI16" t="s">
        <v>335</v>
      </c>
      <c r="BJ16" t="s">
        <v>328</v>
      </c>
      <c r="BK16" t="s">
        <v>335</v>
      </c>
      <c r="BL16" t="s">
        <v>337</v>
      </c>
      <c r="BM16" t="s">
        <v>331</v>
      </c>
      <c r="BN16" t="s">
        <v>331</v>
      </c>
      <c r="BO16" t="s">
        <v>330</v>
      </c>
      <c r="BP16" t="s">
        <v>330</v>
      </c>
      <c r="BQ16" t="s">
        <v>330</v>
      </c>
      <c r="BR16" t="s">
        <v>330</v>
      </c>
      <c r="BS16" t="s">
        <v>330</v>
      </c>
      <c r="BT16" t="s">
        <v>340</v>
      </c>
      <c r="BU16" t="s">
        <v>327</v>
      </c>
      <c r="BV16" t="s">
        <v>327</v>
      </c>
      <c r="BW16" t="s">
        <v>328</v>
      </c>
      <c r="BX16" t="s">
        <v>328</v>
      </c>
      <c r="BY16" t="s">
        <v>328</v>
      </c>
      <c r="BZ16" t="s">
        <v>335</v>
      </c>
      <c r="CA16" t="s">
        <v>328</v>
      </c>
      <c r="CB16" t="s">
        <v>335</v>
      </c>
      <c r="CC16" t="s">
        <v>331</v>
      </c>
      <c r="CD16" t="s">
        <v>331</v>
      </c>
      <c r="CE16" t="s">
        <v>330</v>
      </c>
      <c r="CF16" t="s">
        <v>330</v>
      </c>
      <c r="CG16" t="s">
        <v>327</v>
      </c>
      <c r="CL16" t="s">
        <v>327</v>
      </c>
      <c r="CO16" t="s">
        <v>330</v>
      </c>
      <c r="CP16" t="s">
        <v>330</v>
      </c>
      <c r="CQ16" t="s">
        <v>330</v>
      </c>
      <c r="CR16" t="s">
        <v>330</v>
      </c>
      <c r="CS16" t="s">
        <v>330</v>
      </c>
      <c r="CT16" t="s">
        <v>327</v>
      </c>
      <c r="CU16" t="s">
        <v>327</v>
      </c>
      <c r="CV16" t="s">
        <v>327</v>
      </c>
      <c r="CW16" t="s">
        <v>324</v>
      </c>
      <c r="CY16" t="s">
        <v>341</v>
      </c>
      <c r="DA16" t="s">
        <v>324</v>
      </c>
      <c r="DB16" t="s">
        <v>324</v>
      </c>
      <c r="DD16" t="s">
        <v>342</v>
      </c>
      <c r="DE16" t="s">
        <v>343</v>
      </c>
      <c r="DF16" t="s">
        <v>342</v>
      </c>
      <c r="DG16" t="s">
        <v>343</v>
      </c>
      <c r="DH16" t="s">
        <v>342</v>
      </c>
      <c r="DI16" t="s">
        <v>343</v>
      </c>
      <c r="DJ16" t="s">
        <v>332</v>
      </c>
      <c r="DK16" t="s">
        <v>332</v>
      </c>
      <c r="DL16" t="s">
        <v>328</v>
      </c>
      <c r="DM16" t="s">
        <v>344</v>
      </c>
      <c r="DN16" t="s">
        <v>328</v>
      </c>
      <c r="DP16" t="s">
        <v>335</v>
      </c>
      <c r="DQ16" t="s">
        <v>345</v>
      </c>
      <c r="DR16" t="s">
        <v>335</v>
      </c>
      <c r="DW16" t="s">
        <v>346</v>
      </c>
      <c r="DX16" t="s">
        <v>346</v>
      </c>
      <c r="EK16" t="s">
        <v>346</v>
      </c>
      <c r="EL16" t="s">
        <v>346</v>
      </c>
      <c r="EM16" t="s">
        <v>347</v>
      </c>
      <c r="EN16" t="s">
        <v>347</v>
      </c>
      <c r="EO16" t="s">
        <v>330</v>
      </c>
      <c r="EP16" t="s">
        <v>330</v>
      </c>
      <c r="EQ16" t="s">
        <v>332</v>
      </c>
      <c r="ER16" t="s">
        <v>330</v>
      </c>
      <c r="ES16" t="s">
        <v>335</v>
      </c>
      <c r="ET16" t="s">
        <v>332</v>
      </c>
      <c r="EU16" t="s">
        <v>332</v>
      </c>
      <c r="EW16" t="s">
        <v>346</v>
      </c>
      <c r="EX16" t="s">
        <v>346</v>
      </c>
      <c r="EY16" t="s">
        <v>346</v>
      </c>
      <c r="EZ16" t="s">
        <v>346</v>
      </c>
      <c r="FA16" t="s">
        <v>346</v>
      </c>
      <c r="FB16" t="s">
        <v>346</v>
      </c>
      <c r="FC16" t="s">
        <v>346</v>
      </c>
      <c r="FD16" t="s">
        <v>348</v>
      </c>
      <c r="FE16" t="s">
        <v>348</v>
      </c>
      <c r="FF16" t="s">
        <v>348</v>
      </c>
      <c r="FG16" t="s">
        <v>349</v>
      </c>
      <c r="FH16" t="s">
        <v>346</v>
      </c>
      <c r="FI16" t="s">
        <v>346</v>
      </c>
      <c r="FJ16" t="s">
        <v>346</v>
      </c>
      <c r="FK16" t="s">
        <v>346</v>
      </c>
      <c r="FL16" t="s">
        <v>346</v>
      </c>
      <c r="FM16" t="s">
        <v>346</v>
      </c>
      <c r="FN16" t="s">
        <v>346</v>
      </c>
      <c r="FO16" t="s">
        <v>346</v>
      </c>
      <c r="FP16" t="s">
        <v>346</v>
      </c>
      <c r="FQ16" t="s">
        <v>346</v>
      </c>
      <c r="FR16" t="s">
        <v>346</v>
      </c>
      <c r="FS16" t="s">
        <v>346</v>
      </c>
      <c r="FZ16" t="s">
        <v>346</v>
      </c>
      <c r="GA16" t="s">
        <v>332</v>
      </c>
      <c r="GB16" t="s">
        <v>332</v>
      </c>
      <c r="GC16" t="s">
        <v>342</v>
      </c>
      <c r="GD16" t="s">
        <v>343</v>
      </c>
      <c r="GE16" t="s">
        <v>342</v>
      </c>
      <c r="GI16" t="s">
        <v>343</v>
      </c>
      <c r="GM16" t="s">
        <v>328</v>
      </c>
      <c r="GN16" t="s">
        <v>328</v>
      </c>
      <c r="GO16" t="s">
        <v>335</v>
      </c>
      <c r="GP16" t="s">
        <v>335</v>
      </c>
      <c r="GQ16" t="s">
        <v>350</v>
      </c>
      <c r="GR16" t="s">
        <v>350</v>
      </c>
      <c r="GS16" t="s">
        <v>346</v>
      </c>
      <c r="GT16" t="s">
        <v>346</v>
      </c>
      <c r="GU16" t="s">
        <v>346</v>
      </c>
      <c r="GV16" t="s">
        <v>346</v>
      </c>
      <c r="GW16" t="s">
        <v>346</v>
      </c>
      <c r="GX16" t="s">
        <v>346</v>
      </c>
      <c r="GY16" t="s">
        <v>330</v>
      </c>
      <c r="GZ16" t="s">
        <v>346</v>
      </c>
      <c r="HB16" t="s">
        <v>337</v>
      </c>
      <c r="HC16" t="s">
        <v>337</v>
      </c>
      <c r="HD16" t="s">
        <v>330</v>
      </c>
      <c r="HE16" t="s">
        <v>330</v>
      </c>
      <c r="HF16" t="s">
        <v>330</v>
      </c>
      <c r="HG16" t="s">
        <v>330</v>
      </c>
      <c r="HH16" t="s">
        <v>330</v>
      </c>
      <c r="HI16" t="s">
        <v>332</v>
      </c>
      <c r="HJ16" t="s">
        <v>332</v>
      </c>
      <c r="HK16" t="s">
        <v>332</v>
      </c>
      <c r="HL16" t="s">
        <v>330</v>
      </c>
      <c r="HM16" t="s">
        <v>328</v>
      </c>
      <c r="HN16" t="s">
        <v>335</v>
      </c>
      <c r="HO16" t="s">
        <v>332</v>
      </c>
      <c r="HP16" t="s">
        <v>332</v>
      </c>
    </row>
    <row r="17" spans="1:224">
      <c r="A17">
        <v>1</v>
      </c>
      <c r="B17">
        <v>1750957271</v>
      </c>
      <c r="C17">
        <v>0</v>
      </c>
      <c r="D17" t="s">
        <v>351</v>
      </c>
      <c r="E17" t="s">
        <v>352</v>
      </c>
      <c r="F17">
        <v>15</v>
      </c>
      <c r="G17">
        <v>1750957263</v>
      </c>
      <c r="H17">
        <f>(I17)/1000</f>
        <v>0</v>
      </c>
      <c r="I17">
        <f>IF(BD17, AL17, AF17)</f>
        <v>0</v>
      </c>
      <c r="J17">
        <f>IF(BD17, AG17, AE17)</f>
        <v>0</v>
      </c>
      <c r="K17">
        <f>BF17 - IF(AS17&gt;1, J17*AZ17*100.0/(AU17), 0)</f>
        <v>0</v>
      </c>
      <c r="L17">
        <f>((R17-H17/2)*K17-J17)/(R17+H17/2)</f>
        <v>0</v>
      </c>
      <c r="M17">
        <f>L17*(BM17+BN17)/1000.0</f>
        <v>0</v>
      </c>
      <c r="N17">
        <f>(BF17 - IF(AS17&gt;1, J17*AZ17*100.0/(AU17), 0))*(BM17+BN17)/1000.0</f>
        <v>0</v>
      </c>
      <c r="O17">
        <f>2.0/((1/Q17-1/P17)+SIGN(Q17)*SQRT((1/Q17-1/P17)*(1/Q17-1/P17) + 4*BA17/((BA17+1)*(BA17+1))*(2*1/Q17*1/P17-1/P17*1/P17)))</f>
        <v>0</v>
      </c>
      <c r="P17">
        <f>IF(LEFT(BB17,1)&lt;&gt;"0",IF(LEFT(BB17,1)="1",3.0,BC17),$D$5+$E$5*(BT17*BM17/($K$5*1000))+$F$5*(BT17*BM17/($K$5*1000))*MAX(MIN(AZ17,$J$5),$I$5)*MAX(MIN(AZ17,$J$5),$I$5)+$G$5*MAX(MIN(AZ17,$J$5),$I$5)*(BT17*BM17/($K$5*1000))+$H$5*(BT17*BM17/($K$5*1000))*(BT17*BM17/($K$5*1000)))</f>
        <v>0</v>
      </c>
      <c r="Q17">
        <f>H17*(1000-(1000*0.61365*exp(17.502*U17/(240.97+U17))/(BM17+BN17)+BH17)/2)/(1000*0.61365*exp(17.502*U17/(240.97+U17))/(BM17+BN17)-BH17)</f>
        <v>0</v>
      </c>
      <c r="R17">
        <f>1/((BA17+1)/(O17/1.6)+1/(P17/1.37)) + BA17/((BA17+1)/(O17/1.6) + BA17/(P17/1.37))</f>
        <v>0</v>
      </c>
      <c r="S17">
        <f>(AV17*AY17)</f>
        <v>0</v>
      </c>
      <c r="T17">
        <f>(BO17+(S17+2*0.95*5.67E-8*(((BO17+$B$7)+273)^4-(BO17+273)^4)-44100*H17)/(1.84*29.3*P17+8*0.95*5.67E-8*(BO17+273)^3))</f>
        <v>0</v>
      </c>
      <c r="U17">
        <f>($C$7*BP17+$D$7*BQ17+$E$7*T17)</f>
        <v>0</v>
      </c>
      <c r="V17">
        <f>0.61365*exp(17.502*U17/(240.97+U17))</f>
        <v>0</v>
      </c>
      <c r="W17">
        <f>(X17/Y17*100)</f>
        <v>0</v>
      </c>
      <c r="X17">
        <f>BH17*(BM17+BN17)/1000</f>
        <v>0</v>
      </c>
      <c r="Y17">
        <f>0.61365*exp(17.502*BO17/(240.97+BO17))</f>
        <v>0</v>
      </c>
      <c r="Z17">
        <f>(V17-BH17*(BM17+BN17)/1000)</f>
        <v>0</v>
      </c>
      <c r="AA17">
        <f>(-H17*44100)</f>
        <v>0</v>
      </c>
      <c r="AB17">
        <f>2*29.3*P17*0.92*(BO17-U17)</f>
        <v>0</v>
      </c>
      <c r="AC17">
        <f>2*0.95*5.67E-8*(((BO17+$B$7)+273)^4-(U17+273)^4)</f>
        <v>0</v>
      </c>
      <c r="AD17">
        <f>S17+AC17+AA17+AB17</f>
        <v>0</v>
      </c>
      <c r="AE17">
        <f>BL17*AS17*(BG17-BF17*(1000-AS17*BI17)/(1000-AS17*BH17))/(100*AZ17)</f>
        <v>0</v>
      </c>
      <c r="AF17">
        <f>1000*BL17*AS17*(BH17-BI17)/(100*AZ17*(1000-AS17*BH17))</f>
        <v>0</v>
      </c>
      <c r="AG17">
        <f>(AH17 - AI17 - BM17*1E3/(8.314*(BO17+273.15)) * AK17/BL17 * AJ17) * BL17/(100*AZ17) * (1000 - BI17)/1000</f>
        <v>0</v>
      </c>
      <c r="AH17">
        <v>410.8429321559844</v>
      </c>
      <c r="AI17">
        <v>409.8146363636361</v>
      </c>
      <c r="AJ17">
        <v>-0.0006977336824975931</v>
      </c>
      <c r="AK17">
        <v>66.94822637616106</v>
      </c>
      <c r="AL17">
        <f>(AN17 - AM17 + BM17*1E3/(8.314*(BO17+273.15)) * AP17/BL17 * AO17) * BL17/(100*AZ17) * 1000/(1000 - AN17)</f>
        <v>0</v>
      </c>
      <c r="AM17">
        <v>14.34855249627774</v>
      </c>
      <c r="AN17">
        <v>14.1186503030303</v>
      </c>
      <c r="AO17">
        <v>0.001626358552193732</v>
      </c>
      <c r="AP17">
        <v>79.3895949872943</v>
      </c>
      <c r="AQ17">
        <v>481</v>
      </c>
      <c r="AR17">
        <v>60</v>
      </c>
      <c r="AS17">
        <f>IF(AQ17*$H$13&gt;=AU17,1.0,(AU17/(AU17-AQ17*$H$13)))</f>
        <v>0</v>
      </c>
      <c r="AT17">
        <f>(AS17-1)*100</f>
        <v>0</v>
      </c>
      <c r="AU17">
        <f>MAX(0,($B$13+$C$13*BT17)/(1+$D$13*BT17)*BM17/(BO17+273)*$E$13)</f>
        <v>0</v>
      </c>
      <c r="AV17">
        <f>$B$11*BU17+$C$11*BV17+$F$11*CG17*(1-CJ17)</f>
        <v>0</v>
      </c>
      <c r="AW17">
        <f>AV17*AX17</f>
        <v>0</v>
      </c>
      <c r="AX17">
        <f>($B$11*$D$9+$C$11*$D$9+$F$11*((CT17+CL17)/MAX(CT17+CL17+CU17, 0.1)*$I$9+CU17/MAX(CT17+CL17+CU17, 0.1)*$J$9))/($B$11+$C$11+$F$11)</f>
        <v>0</v>
      </c>
      <c r="AY17">
        <f>($B$11*$K$9+$C$11*$K$9+$F$11*((CT17+CL17)/MAX(CT17+CL17+CU17, 0.1)*$P$9+CU17/MAX(CT17+CL17+CU17, 0.1)*$Q$9))/($B$11+$C$11+$F$11)</f>
        <v>0</v>
      </c>
      <c r="AZ17">
        <v>6</v>
      </c>
      <c r="BA17">
        <v>0.5</v>
      </c>
      <c r="BB17" t="s">
        <v>353</v>
      </c>
      <c r="BC17">
        <v>2</v>
      </c>
      <c r="BD17" t="b">
        <v>0</v>
      </c>
      <c r="BE17">
        <v>1750957263</v>
      </c>
      <c r="BF17">
        <v>403.8732258064517</v>
      </c>
      <c r="BG17">
        <v>404.9556774193549</v>
      </c>
      <c r="BH17">
        <v>14.21685161290323</v>
      </c>
      <c r="BI17">
        <v>14.33657096774194</v>
      </c>
      <c r="BJ17">
        <v>402.1982258064517</v>
      </c>
      <c r="BK17">
        <v>14.15485161290323</v>
      </c>
      <c r="BL17">
        <v>800.0036774193549</v>
      </c>
      <c r="BM17">
        <v>101.2308387096774</v>
      </c>
      <c r="BN17">
        <v>0.09997418387096774</v>
      </c>
      <c r="BO17">
        <v>21.68585806451613</v>
      </c>
      <c r="BP17">
        <v>21.6765</v>
      </c>
      <c r="BQ17">
        <v>999.9000000000003</v>
      </c>
      <c r="BR17">
        <v>0</v>
      </c>
      <c r="BS17">
        <v>0</v>
      </c>
      <c r="BT17">
        <v>9996.728387096775</v>
      </c>
      <c r="BU17">
        <v>0</v>
      </c>
      <c r="BV17">
        <v>0.00152894</v>
      </c>
      <c r="BW17">
        <v>-0.8653120322580644</v>
      </c>
      <c r="BX17">
        <v>409.8617096774194</v>
      </c>
      <c r="BY17">
        <v>410.8458387096774</v>
      </c>
      <c r="BZ17">
        <v>-0.2554919677419354</v>
      </c>
      <c r="CA17">
        <v>404.9556774193549</v>
      </c>
      <c r="CB17">
        <v>14.33657096774194</v>
      </c>
      <c r="CC17">
        <v>1.42543870967742</v>
      </c>
      <c r="CD17">
        <v>1.451303548387097</v>
      </c>
      <c r="CE17">
        <v>12.19098064516129</v>
      </c>
      <c r="CF17">
        <v>12.46455483870968</v>
      </c>
      <c r="CG17">
        <v>999.9590967741934</v>
      </c>
      <c r="CH17">
        <v>0.9599968387096774</v>
      </c>
      <c r="CI17">
        <v>0.04000323870967742</v>
      </c>
      <c r="CJ17">
        <v>0</v>
      </c>
      <c r="CK17">
        <v>3.121451612903225</v>
      </c>
      <c r="CL17">
        <v>0</v>
      </c>
      <c r="CM17">
        <v>4874.77935483871</v>
      </c>
      <c r="CN17">
        <v>7946.580000000001</v>
      </c>
      <c r="CO17">
        <v>33.74770967741935</v>
      </c>
      <c r="CP17">
        <v>37.97351612903225</v>
      </c>
      <c r="CQ17">
        <v>35.31025806451613</v>
      </c>
      <c r="CR17">
        <v>38.08445161290322</v>
      </c>
      <c r="CS17">
        <v>34.18532258064516</v>
      </c>
      <c r="CT17">
        <v>959.9570967741936</v>
      </c>
      <c r="CU17">
        <v>40.00129032258064</v>
      </c>
      <c r="CV17">
        <v>0</v>
      </c>
      <c r="CW17">
        <v>1750957288.1</v>
      </c>
      <c r="CX17">
        <v>0</v>
      </c>
      <c r="CY17">
        <v>1750957289.5</v>
      </c>
      <c r="CZ17" t="s">
        <v>354</v>
      </c>
      <c r="DA17">
        <v>1750957289.5</v>
      </c>
      <c r="DB17">
        <v>1750957287</v>
      </c>
      <c r="DC17">
        <v>1</v>
      </c>
      <c r="DD17">
        <v>-0.217</v>
      </c>
      <c r="DE17">
        <v>0.13</v>
      </c>
      <c r="DF17">
        <v>1.675</v>
      </c>
      <c r="DG17">
        <v>0.062</v>
      </c>
      <c r="DH17">
        <v>405</v>
      </c>
      <c r="DI17">
        <v>14</v>
      </c>
      <c r="DJ17">
        <v>0.6899999999999999</v>
      </c>
      <c r="DK17">
        <v>0.09</v>
      </c>
      <c r="DL17">
        <v>-0.8643105365853658</v>
      </c>
      <c r="DM17">
        <v>-0.05268827874564466</v>
      </c>
      <c r="DN17">
        <v>0.02999211107095604</v>
      </c>
      <c r="DO17">
        <v>1</v>
      </c>
      <c r="DP17">
        <v>-0.2681214634146341</v>
      </c>
      <c r="DQ17">
        <v>0.2084648362369334</v>
      </c>
      <c r="DR17">
        <v>0.02071804035028358</v>
      </c>
      <c r="DS17">
        <v>0</v>
      </c>
      <c r="DT17">
        <v>1</v>
      </c>
      <c r="DU17">
        <v>2</v>
      </c>
      <c r="DV17" t="s">
        <v>355</v>
      </c>
      <c r="DW17">
        <v>3.44811</v>
      </c>
      <c r="DX17">
        <v>2.78086</v>
      </c>
      <c r="DY17">
        <v>0.0978821</v>
      </c>
      <c r="DZ17">
        <v>0.0983549</v>
      </c>
      <c r="EA17">
        <v>0.0826948</v>
      </c>
      <c r="EB17">
        <v>0.0827396</v>
      </c>
      <c r="EC17">
        <v>27283</v>
      </c>
      <c r="ED17">
        <v>31044.8</v>
      </c>
      <c r="EE17">
        <v>29366</v>
      </c>
      <c r="EF17">
        <v>35007.3</v>
      </c>
      <c r="EG17">
        <v>31154.4</v>
      </c>
      <c r="EH17">
        <v>39847.2</v>
      </c>
      <c r="EI17">
        <v>36151.5</v>
      </c>
      <c r="EJ17">
        <v>46325.1</v>
      </c>
      <c r="EK17">
        <v>1.65443</v>
      </c>
      <c r="EL17">
        <v>2.31785</v>
      </c>
      <c r="EM17">
        <v>0.0794977</v>
      </c>
      <c r="EN17">
        <v>0</v>
      </c>
      <c r="EO17">
        <v>20.3898</v>
      </c>
      <c r="EP17">
        <v>999.9</v>
      </c>
      <c r="EQ17">
        <v>62.7</v>
      </c>
      <c r="ER17">
        <v>22.5</v>
      </c>
      <c r="ES17">
        <v>16.9431</v>
      </c>
      <c r="ET17">
        <v>62.19</v>
      </c>
      <c r="EU17">
        <v>26.1538</v>
      </c>
      <c r="EV17">
        <v>2</v>
      </c>
      <c r="EW17">
        <v>-0.476989</v>
      </c>
      <c r="EX17">
        <v>0</v>
      </c>
      <c r="EY17">
        <v>20.2961</v>
      </c>
      <c r="EZ17">
        <v>5.21549</v>
      </c>
      <c r="FA17">
        <v>11.9679</v>
      </c>
      <c r="FB17">
        <v>4.9921</v>
      </c>
      <c r="FC17">
        <v>3.272</v>
      </c>
      <c r="FD17">
        <v>3057.7</v>
      </c>
      <c r="FE17">
        <v>9999</v>
      </c>
      <c r="FF17">
        <v>9999</v>
      </c>
      <c r="FG17">
        <v>999.9</v>
      </c>
      <c r="FH17">
        <v>4.9726</v>
      </c>
      <c r="FI17">
        <v>1.86234</v>
      </c>
      <c r="FJ17">
        <v>1.86404</v>
      </c>
      <c r="FK17">
        <v>1.86249</v>
      </c>
      <c r="FL17">
        <v>1.86249</v>
      </c>
      <c r="FM17">
        <v>1.86316</v>
      </c>
      <c r="FN17">
        <v>1.85962</v>
      </c>
      <c r="FO17">
        <v>1.86249</v>
      </c>
      <c r="FP17">
        <v>0</v>
      </c>
      <c r="FQ17">
        <v>0</v>
      </c>
      <c r="FR17">
        <v>0</v>
      </c>
      <c r="FS17">
        <v>0</v>
      </c>
      <c r="FT17" t="s">
        <v>356</v>
      </c>
      <c r="FU17" t="s">
        <v>357</v>
      </c>
      <c r="FV17" t="s">
        <v>358</v>
      </c>
      <c r="FW17" t="s">
        <v>358</v>
      </c>
      <c r="FX17" t="s">
        <v>358</v>
      </c>
      <c r="FY17" t="s">
        <v>358</v>
      </c>
      <c r="FZ17">
        <v>0</v>
      </c>
      <c r="GA17">
        <v>100</v>
      </c>
      <c r="GB17">
        <v>100</v>
      </c>
      <c r="GC17">
        <v>1.675</v>
      </c>
      <c r="GD17">
        <v>0.062</v>
      </c>
      <c r="GE17">
        <v>2.174987066649932</v>
      </c>
      <c r="GF17">
        <v>-0.001033730503750798</v>
      </c>
      <c r="GG17">
        <v>9.120241388950126E-07</v>
      </c>
      <c r="GH17">
        <v>-2.246115299815222E-10</v>
      </c>
      <c r="GI17">
        <v>-0.1819024097000205</v>
      </c>
      <c r="GJ17">
        <v>-0.01814858093373864</v>
      </c>
      <c r="GK17">
        <v>0.002091959988359369</v>
      </c>
      <c r="GL17">
        <v>-1.90871700788604E-05</v>
      </c>
      <c r="GM17">
        <v>2</v>
      </c>
      <c r="GN17">
        <v>2210</v>
      </c>
      <c r="GO17">
        <v>1</v>
      </c>
      <c r="GP17">
        <v>26</v>
      </c>
      <c r="GQ17">
        <v>1386</v>
      </c>
      <c r="GR17">
        <v>1385.9</v>
      </c>
      <c r="GS17">
        <v>1.24023</v>
      </c>
      <c r="GT17">
        <v>2.33398</v>
      </c>
      <c r="GU17">
        <v>2.34741</v>
      </c>
      <c r="GV17">
        <v>2.76978</v>
      </c>
      <c r="GW17">
        <v>2.39868</v>
      </c>
      <c r="GX17">
        <v>2.26196</v>
      </c>
      <c r="GY17">
        <v>27.4118</v>
      </c>
      <c r="GZ17">
        <v>16.1371</v>
      </c>
      <c r="HA17">
        <v>18</v>
      </c>
      <c r="HB17">
        <v>282.655</v>
      </c>
      <c r="HC17">
        <v>674.134</v>
      </c>
      <c r="HD17">
        <v>20.7402</v>
      </c>
      <c r="HE17">
        <v>20.9893</v>
      </c>
      <c r="HF17">
        <v>30.0007</v>
      </c>
      <c r="HG17">
        <v>20.8529</v>
      </c>
      <c r="HH17">
        <v>20.7692</v>
      </c>
      <c r="HI17">
        <v>24.8691</v>
      </c>
      <c r="HJ17">
        <v>22.2794</v>
      </c>
      <c r="HK17">
        <v>3.31535</v>
      </c>
      <c r="HL17">
        <v>-999.9</v>
      </c>
      <c r="HM17">
        <v>405</v>
      </c>
      <c r="HN17">
        <v>14.3318</v>
      </c>
      <c r="HO17">
        <v>100.829</v>
      </c>
      <c r="HP17">
        <v>101.164</v>
      </c>
    </row>
    <row r="18" spans="1:224">
      <c r="A18">
        <v>2</v>
      </c>
      <c r="B18">
        <v>1750957391.5</v>
      </c>
      <c r="C18">
        <v>120.5</v>
      </c>
      <c r="D18" t="s">
        <v>359</v>
      </c>
      <c r="E18" t="s">
        <v>360</v>
      </c>
      <c r="F18">
        <v>15</v>
      </c>
      <c r="G18">
        <v>1750957383.5</v>
      </c>
      <c r="H18">
        <f>(I18)/1000</f>
        <v>0</v>
      </c>
      <c r="I18">
        <f>IF(BD18, AL18, AF18)</f>
        <v>0</v>
      </c>
      <c r="J18">
        <f>IF(BD18, AG18, AE18)</f>
        <v>0</v>
      </c>
      <c r="K18">
        <f>BF18 - IF(AS18&gt;1, J18*AZ18*100.0/(AU18), 0)</f>
        <v>0</v>
      </c>
      <c r="L18">
        <f>((R18-H18/2)*K18-J18)/(R18+H18/2)</f>
        <v>0</v>
      </c>
      <c r="M18">
        <f>L18*(BM18+BN18)/1000.0</f>
        <v>0</v>
      </c>
      <c r="N18">
        <f>(BF18 - IF(AS18&gt;1, J18*AZ18*100.0/(AU18), 0))*(BM18+BN18)/1000.0</f>
        <v>0</v>
      </c>
      <c r="O18">
        <f>2.0/((1/Q18-1/P18)+SIGN(Q18)*SQRT((1/Q18-1/P18)*(1/Q18-1/P18) + 4*BA18/((BA18+1)*(BA18+1))*(2*1/Q18*1/P18-1/P18*1/P18)))</f>
        <v>0</v>
      </c>
      <c r="P18">
        <f>IF(LEFT(BB18,1)&lt;&gt;"0",IF(LEFT(BB18,1)="1",3.0,BC18),$D$5+$E$5*(BT18*BM18/($K$5*1000))+$F$5*(BT18*BM18/($K$5*1000))*MAX(MIN(AZ18,$J$5),$I$5)*MAX(MIN(AZ18,$J$5),$I$5)+$G$5*MAX(MIN(AZ18,$J$5),$I$5)*(BT18*BM18/($K$5*1000))+$H$5*(BT18*BM18/($K$5*1000))*(BT18*BM18/($K$5*1000)))</f>
        <v>0</v>
      </c>
      <c r="Q18">
        <f>H18*(1000-(1000*0.61365*exp(17.502*U18/(240.97+U18))/(BM18+BN18)+BH18)/2)/(1000*0.61365*exp(17.502*U18/(240.97+U18))/(BM18+BN18)-BH18)</f>
        <v>0</v>
      </c>
      <c r="R18">
        <f>1/((BA18+1)/(O18/1.6)+1/(P18/1.37)) + BA18/((BA18+1)/(O18/1.6) + BA18/(P18/1.37))</f>
        <v>0</v>
      </c>
      <c r="S18">
        <f>(AV18*AY18)</f>
        <v>0</v>
      </c>
      <c r="T18">
        <f>(BO18+(S18+2*0.95*5.67E-8*(((BO18+$B$7)+273)^4-(BO18+273)^4)-44100*H18)/(1.84*29.3*P18+8*0.95*5.67E-8*(BO18+273)^3))</f>
        <v>0</v>
      </c>
      <c r="U18">
        <f>($C$7*BP18+$D$7*BQ18+$E$7*T18)</f>
        <v>0</v>
      </c>
      <c r="V18">
        <f>0.61365*exp(17.502*U18/(240.97+U18))</f>
        <v>0</v>
      </c>
      <c r="W18">
        <f>(X18/Y18*100)</f>
        <v>0</v>
      </c>
      <c r="X18">
        <f>BH18*(BM18+BN18)/1000</f>
        <v>0</v>
      </c>
      <c r="Y18">
        <f>0.61365*exp(17.502*BO18/(240.97+BO18))</f>
        <v>0</v>
      </c>
      <c r="Z18">
        <f>(V18-BH18*(BM18+BN18)/1000)</f>
        <v>0</v>
      </c>
      <c r="AA18">
        <f>(-H18*44100)</f>
        <v>0</v>
      </c>
      <c r="AB18">
        <f>2*29.3*P18*0.92*(BO18-U18)</f>
        <v>0</v>
      </c>
      <c r="AC18">
        <f>2*0.95*5.67E-8*(((BO18+$B$7)+273)^4-(U18+273)^4)</f>
        <v>0</v>
      </c>
      <c r="AD18">
        <f>S18+AC18+AA18+AB18</f>
        <v>0</v>
      </c>
      <c r="AE18">
        <f>BL18*AS18*(BG18-BF18*(1000-AS18*BI18)/(1000-AS18*BH18))/(100*AZ18)</f>
        <v>0</v>
      </c>
      <c r="AF18">
        <f>1000*BL18*AS18*(BH18-BI18)/(100*AZ18*(1000-AS18*BH18))</f>
        <v>0</v>
      </c>
      <c r="AG18">
        <f>(AH18 - AI18 - BM18*1E3/(8.314*(BO18+273.15)) * AK18/BL18 * AJ18) * BL18/(100*AZ18) * (1000 - BI18)/1000</f>
        <v>0</v>
      </c>
      <c r="AH18">
        <v>410.3373357523922</v>
      </c>
      <c r="AI18">
        <v>406.8018121212119</v>
      </c>
      <c r="AJ18">
        <v>-0.003429993421510264</v>
      </c>
      <c r="AK18">
        <v>66.96479210160589</v>
      </c>
      <c r="AL18">
        <f>(AN18 - AM18 + BM18*1E3/(8.314*(BO18+273.15)) * AP18/BL18 * AO18) * BL18/(100*AZ18) * 1000/(1000 - AN18)</f>
        <v>0</v>
      </c>
      <c r="AM18">
        <v>13.44365322645089</v>
      </c>
      <c r="AN18">
        <v>14.46339515151515</v>
      </c>
      <c r="AO18">
        <v>-0.0002488661781908719</v>
      </c>
      <c r="AP18">
        <v>79.12618263650062</v>
      </c>
      <c r="AQ18">
        <v>30</v>
      </c>
      <c r="AR18">
        <v>4</v>
      </c>
      <c r="AS18">
        <f>IF(AQ18*$H$13&gt;=AU18,1.0,(AU18/(AU18-AQ18*$H$13)))</f>
        <v>0</v>
      </c>
      <c r="AT18">
        <f>(AS18-1)*100</f>
        <v>0</v>
      </c>
      <c r="AU18">
        <f>MAX(0,($B$13+$C$13*BT18)/(1+$D$13*BT18)*BM18/(BO18+273)*$E$13)</f>
        <v>0</v>
      </c>
      <c r="AV18">
        <f>$B$11*BU18+$C$11*BV18+$F$11*CG18*(1-CJ18)</f>
        <v>0</v>
      </c>
      <c r="AW18">
        <f>AV18*AX18</f>
        <v>0</v>
      </c>
      <c r="AX18">
        <f>($B$11*$D$9+$C$11*$D$9+$F$11*((CT18+CL18)/MAX(CT18+CL18+CU18, 0.1)*$I$9+CU18/MAX(CT18+CL18+CU18, 0.1)*$J$9))/($B$11+$C$11+$F$11)</f>
        <v>0</v>
      </c>
      <c r="AY18">
        <f>($B$11*$K$9+$C$11*$K$9+$F$11*((CT18+CL18)/MAX(CT18+CL18+CU18, 0.1)*$P$9+CU18/MAX(CT18+CL18+CU18, 0.1)*$Q$9))/($B$11+$C$11+$F$11)</f>
        <v>0</v>
      </c>
      <c r="AZ18">
        <v>6</v>
      </c>
      <c r="BA18">
        <v>0.5</v>
      </c>
      <c r="BB18" t="s">
        <v>353</v>
      </c>
      <c r="BC18">
        <v>2</v>
      </c>
      <c r="BD18" t="b">
        <v>0</v>
      </c>
      <c r="BE18">
        <v>1750957383.5</v>
      </c>
      <c r="BF18">
        <v>401.0539677419355</v>
      </c>
      <c r="BG18">
        <v>404.8959677419354</v>
      </c>
      <c r="BH18">
        <v>14.48385483870968</v>
      </c>
      <c r="BI18">
        <v>13.44315161290322</v>
      </c>
      <c r="BJ18">
        <v>399.3999677419355</v>
      </c>
      <c r="BK18">
        <v>14.41920967741935</v>
      </c>
      <c r="BL18">
        <v>800.007129032258</v>
      </c>
      <c r="BM18">
        <v>101.2319677419355</v>
      </c>
      <c r="BN18">
        <v>0.1000121838709677</v>
      </c>
      <c r="BO18">
        <v>22.11924516129032</v>
      </c>
      <c r="BP18">
        <v>21.94415483870967</v>
      </c>
      <c r="BQ18">
        <v>999.9000000000003</v>
      </c>
      <c r="BR18">
        <v>0</v>
      </c>
      <c r="BS18">
        <v>0</v>
      </c>
      <c r="BT18">
        <v>10003.97741935484</v>
      </c>
      <c r="BU18">
        <v>0</v>
      </c>
      <c r="BV18">
        <v>0.00152894</v>
      </c>
      <c r="BW18">
        <v>-3.819600967741935</v>
      </c>
      <c r="BX18">
        <v>406.9709354838709</v>
      </c>
      <c r="BY18">
        <v>410.413258064516</v>
      </c>
      <c r="BZ18">
        <v>1.040699032258064</v>
      </c>
      <c r="CA18">
        <v>404.8959677419354</v>
      </c>
      <c r="CB18">
        <v>13.44315161290322</v>
      </c>
      <c r="CC18">
        <v>1.46622935483871</v>
      </c>
      <c r="CD18">
        <v>1.360877419354839</v>
      </c>
      <c r="CE18">
        <v>12.62046451612903</v>
      </c>
      <c r="CF18">
        <v>11.4885935483871</v>
      </c>
      <c r="CG18">
        <v>999.9846451612904</v>
      </c>
      <c r="CH18">
        <v>0.9600087419354838</v>
      </c>
      <c r="CI18">
        <v>0.03999151290322581</v>
      </c>
      <c r="CJ18">
        <v>0</v>
      </c>
      <c r="CK18">
        <v>2.046774193548387</v>
      </c>
      <c r="CL18">
        <v>0</v>
      </c>
      <c r="CM18">
        <v>13119.97419354839</v>
      </c>
      <c r="CN18">
        <v>7946.823225806451</v>
      </c>
      <c r="CO18">
        <v>34.94735483870968</v>
      </c>
      <c r="CP18">
        <v>38.98161290322579</v>
      </c>
      <c r="CQ18">
        <v>36.44735483870968</v>
      </c>
      <c r="CR18">
        <v>39.16516129032258</v>
      </c>
      <c r="CS18">
        <v>35.29809677419355</v>
      </c>
      <c r="CT18">
        <v>959.9938709677419</v>
      </c>
      <c r="CU18">
        <v>39.99129032258065</v>
      </c>
      <c r="CV18">
        <v>0</v>
      </c>
      <c r="CW18">
        <v>1750957408.7</v>
      </c>
      <c r="CX18">
        <v>0</v>
      </c>
      <c r="CY18">
        <v>1750957410</v>
      </c>
      <c r="CZ18" t="s">
        <v>361</v>
      </c>
      <c r="DA18">
        <v>1750957410</v>
      </c>
      <c r="DB18">
        <v>1750957287</v>
      </c>
      <c r="DC18">
        <v>2</v>
      </c>
      <c r="DD18">
        <v>-0.021</v>
      </c>
      <c r="DE18">
        <v>0.13</v>
      </c>
      <c r="DF18">
        <v>1.654</v>
      </c>
      <c r="DG18">
        <v>0.062</v>
      </c>
      <c r="DH18">
        <v>405</v>
      </c>
      <c r="DI18">
        <v>14</v>
      </c>
      <c r="DJ18">
        <v>0.27</v>
      </c>
      <c r="DK18">
        <v>0.09</v>
      </c>
      <c r="DL18">
        <v>-3.779034999999999</v>
      </c>
      <c r="DM18">
        <v>-1.041796547842408</v>
      </c>
      <c r="DN18">
        <v>0.1045328801621767</v>
      </c>
      <c r="DO18">
        <v>0</v>
      </c>
      <c r="DP18">
        <v>1.06433325</v>
      </c>
      <c r="DQ18">
        <v>-0.4703240150093851</v>
      </c>
      <c r="DR18">
        <v>0.04947046959487549</v>
      </c>
      <c r="DS18">
        <v>0</v>
      </c>
      <c r="DT18">
        <v>0</v>
      </c>
      <c r="DU18">
        <v>2</v>
      </c>
      <c r="DV18" t="s">
        <v>362</v>
      </c>
      <c r="DW18">
        <v>3.44745</v>
      </c>
      <c r="DX18">
        <v>2.78062</v>
      </c>
      <c r="DY18">
        <v>0.09728729999999999</v>
      </c>
      <c r="DZ18">
        <v>0.0982652</v>
      </c>
      <c r="EA18">
        <v>0.0835357</v>
      </c>
      <c r="EB18">
        <v>0.0788093</v>
      </c>
      <c r="EC18">
        <v>27292.9</v>
      </c>
      <c r="ED18">
        <v>31039.2</v>
      </c>
      <c r="EE18">
        <v>29358.1</v>
      </c>
      <c r="EF18">
        <v>34998.6</v>
      </c>
      <c r="EG18">
        <v>31117.9</v>
      </c>
      <c r="EH18">
        <v>40009.6</v>
      </c>
      <c r="EI18">
        <v>36142.4</v>
      </c>
      <c r="EJ18">
        <v>46314.4</v>
      </c>
      <c r="EK18">
        <v>2.52483</v>
      </c>
      <c r="EL18">
        <v>2.31052</v>
      </c>
      <c r="EM18">
        <v>0.0742637</v>
      </c>
      <c r="EN18">
        <v>0</v>
      </c>
      <c r="EO18">
        <v>20.7718</v>
      </c>
      <c r="EP18">
        <v>999.9</v>
      </c>
      <c r="EQ18">
        <v>62.4</v>
      </c>
      <c r="ER18">
        <v>22.7</v>
      </c>
      <c r="ES18">
        <v>17.0689</v>
      </c>
      <c r="ET18">
        <v>62.4</v>
      </c>
      <c r="EU18">
        <v>26.1218</v>
      </c>
      <c r="EV18">
        <v>2</v>
      </c>
      <c r="EW18">
        <v>-0.461385</v>
      </c>
      <c r="EX18">
        <v>0</v>
      </c>
      <c r="EY18">
        <v>20.2951</v>
      </c>
      <c r="EZ18">
        <v>5.211</v>
      </c>
      <c r="FA18">
        <v>11.968</v>
      </c>
      <c r="FB18">
        <v>4.9903</v>
      </c>
      <c r="FC18">
        <v>3.27132</v>
      </c>
      <c r="FD18">
        <v>3061.6</v>
      </c>
      <c r="FE18">
        <v>9999</v>
      </c>
      <c r="FF18">
        <v>9999</v>
      </c>
      <c r="FG18">
        <v>999.9</v>
      </c>
      <c r="FH18">
        <v>4.97262</v>
      </c>
      <c r="FI18">
        <v>1.86237</v>
      </c>
      <c r="FJ18">
        <v>1.86412</v>
      </c>
      <c r="FK18">
        <v>1.8625</v>
      </c>
      <c r="FL18">
        <v>1.86255</v>
      </c>
      <c r="FM18">
        <v>1.86322</v>
      </c>
      <c r="FN18">
        <v>1.85968</v>
      </c>
      <c r="FO18">
        <v>1.86249</v>
      </c>
      <c r="FP18">
        <v>0</v>
      </c>
      <c r="FQ18">
        <v>0</v>
      </c>
      <c r="FR18">
        <v>0</v>
      </c>
      <c r="FS18">
        <v>0</v>
      </c>
      <c r="FT18" t="s">
        <v>356</v>
      </c>
      <c r="FU18" t="s">
        <v>357</v>
      </c>
      <c r="FV18" t="s">
        <v>358</v>
      </c>
      <c r="FW18" t="s">
        <v>358</v>
      </c>
      <c r="FX18" t="s">
        <v>358</v>
      </c>
      <c r="FY18" t="s">
        <v>358</v>
      </c>
      <c r="FZ18">
        <v>0</v>
      </c>
      <c r="GA18">
        <v>100</v>
      </c>
      <c r="GB18">
        <v>100</v>
      </c>
      <c r="GC18">
        <v>1.654</v>
      </c>
      <c r="GD18">
        <v>0.064</v>
      </c>
      <c r="GE18">
        <v>1.958064316511238</v>
      </c>
      <c r="GF18">
        <v>-0.001033730503750798</v>
      </c>
      <c r="GG18">
        <v>9.120241388950126E-07</v>
      </c>
      <c r="GH18">
        <v>-2.246115299815222E-10</v>
      </c>
      <c r="GI18">
        <v>-0.05138743724701786</v>
      </c>
      <c r="GJ18">
        <v>-0.01814858093373864</v>
      </c>
      <c r="GK18">
        <v>0.002091959988359369</v>
      </c>
      <c r="GL18">
        <v>-1.90871700788604E-05</v>
      </c>
      <c r="GM18">
        <v>2</v>
      </c>
      <c r="GN18">
        <v>2210</v>
      </c>
      <c r="GO18">
        <v>1</v>
      </c>
      <c r="GP18">
        <v>26</v>
      </c>
      <c r="GQ18">
        <v>1.7</v>
      </c>
      <c r="GR18">
        <v>1.7</v>
      </c>
      <c r="GS18">
        <v>1.24023</v>
      </c>
      <c r="GT18">
        <v>2.34375</v>
      </c>
      <c r="GU18">
        <v>2.34863</v>
      </c>
      <c r="GV18">
        <v>2.76611</v>
      </c>
      <c r="GW18">
        <v>2.39868</v>
      </c>
      <c r="GX18">
        <v>2.24731</v>
      </c>
      <c r="GY18">
        <v>27.6829</v>
      </c>
      <c r="GZ18">
        <v>16.1284</v>
      </c>
      <c r="HA18">
        <v>18</v>
      </c>
      <c r="HB18">
        <v>779.212</v>
      </c>
      <c r="HC18">
        <v>671.6319999999999</v>
      </c>
      <c r="HD18">
        <v>21.1152</v>
      </c>
      <c r="HE18">
        <v>21.2219</v>
      </c>
      <c r="HF18">
        <v>30.0007</v>
      </c>
      <c r="HG18">
        <v>21.073</v>
      </c>
      <c r="HH18">
        <v>21.0264</v>
      </c>
      <c r="HI18">
        <v>24.8829</v>
      </c>
      <c r="HJ18">
        <v>27.9689</v>
      </c>
      <c r="HK18">
        <v>3.31535</v>
      </c>
      <c r="HL18">
        <v>-999.9</v>
      </c>
      <c r="HM18">
        <v>405</v>
      </c>
      <c r="HN18">
        <v>13.5285</v>
      </c>
      <c r="HO18">
        <v>100.803</v>
      </c>
      <c r="HP18">
        <v>101.14</v>
      </c>
    </row>
    <row r="19" spans="1:224">
      <c r="A19">
        <v>3</v>
      </c>
      <c r="B19">
        <v>1750957582</v>
      </c>
      <c r="C19">
        <v>311</v>
      </c>
      <c r="D19" t="s">
        <v>363</v>
      </c>
      <c r="E19" t="s">
        <v>364</v>
      </c>
      <c r="F19">
        <v>15</v>
      </c>
      <c r="G19">
        <v>1750957574</v>
      </c>
      <c r="H19">
        <f>(I19)/1000</f>
        <v>0</v>
      </c>
      <c r="I19">
        <f>IF(BD19, AL19, AF19)</f>
        <v>0</v>
      </c>
      <c r="J19">
        <f>IF(BD19, AG19, AE19)</f>
        <v>0</v>
      </c>
      <c r="K19">
        <f>BF19 - IF(AS19&gt;1, J19*AZ19*100.0/(AU19), 0)</f>
        <v>0</v>
      </c>
      <c r="L19">
        <f>((R19-H19/2)*K19-J19)/(R19+H19/2)</f>
        <v>0</v>
      </c>
      <c r="M19">
        <f>L19*(BM19+BN19)/1000.0</f>
        <v>0</v>
      </c>
      <c r="N19">
        <f>(BF19 - IF(AS19&gt;1, J19*AZ19*100.0/(AU19), 0))*(BM19+BN19)/1000.0</f>
        <v>0</v>
      </c>
      <c r="O19">
        <f>2.0/((1/Q19-1/P19)+SIGN(Q19)*SQRT((1/Q19-1/P19)*(1/Q19-1/P19) + 4*BA19/((BA19+1)*(BA19+1))*(2*1/Q19*1/P19-1/P19*1/P19)))</f>
        <v>0</v>
      </c>
      <c r="P19">
        <f>IF(LEFT(BB19,1)&lt;&gt;"0",IF(LEFT(BB19,1)="1",3.0,BC19),$D$5+$E$5*(BT19*BM19/($K$5*1000))+$F$5*(BT19*BM19/($K$5*1000))*MAX(MIN(AZ19,$J$5),$I$5)*MAX(MIN(AZ19,$J$5),$I$5)+$G$5*MAX(MIN(AZ19,$J$5),$I$5)*(BT19*BM19/($K$5*1000))+$H$5*(BT19*BM19/($K$5*1000))*(BT19*BM19/($K$5*1000)))</f>
        <v>0</v>
      </c>
      <c r="Q19">
        <f>H19*(1000-(1000*0.61365*exp(17.502*U19/(240.97+U19))/(BM19+BN19)+BH19)/2)/(1000*0.61365*exp(17.502*U19/(240.97+U19))/(BM19+BN19)-BH19)</f>
        <v>0</v>
      </c>
      <c r="R19">
        <f>1/((BA19+1)/(O19/1.6)+1/(P19/1.37)) + BA19/((BA19+1)/(O19/1.6) + BA19/(P19/1.37))</f>
        <v>0</v>
      </c>
      <c r="S19">
        <f>(AV19*AY19)</f>
        <v>0</v>
      </c>
      <c r="T19">
        <f>(BO19+(S19+2*0.95*5.67E-8*(((BO19+$B$7)+273)^4-(BO19+273)^4)-44100*H19)/(1.84*29.3*P19+8*0.95*5.67E-8*(BO19+273)^3))</f>
        <v>0</v>
      </c>
      <c r="U19">
        <f>($C$7*BP19+$D$7*BQ19+$E$7*T19)</f>
        <v>0</v>
      </c>
      <c r="V19">
        <f>0.61365*exp(17.502*U19/(240.97+U19))</f>
        <v>0</v>
      </c>
      <c r="W19">
        <f>(X19/Y19*100)</f>
        <v>0</v>
      </c>
      <c r="X19">
        <f>BH19*(BM19+BN19)/1000</f>
        <v>0</v>
      </c>
      <c r="Y19">
        <f>0.61365*exp(17.502*BO19/(240.97+BO19))</f>
        <v>0</v>
      </c>
      <c r="Z19">
        <f>(V19-BH19*(BM19+BN19)/1000)</f>
        <v>0</v>
      </c>
      <c r="AA19">
        <f>(-H19*44100)</f>
        <v>0</v>
      </c>
      <c r="AB19">
        <f>2*29.3*P19*0.92*(BO19-U19)</f>
        <v>0</v>
      </c>
      <c r="AC19">
        <f>2*0.95*5.67E-8*(((BO19+$B$7)+273)^4-(U19+273)^4)</f>
        <v>0</v>
      </c>
      <c r="AD19">
        <f>S19+AC19+AA19+AB19</f>
        <v>0</v>
      </c>
      <c r="AE19">
        <f>BL19*AS19*(BG19-BF19*(1000-AS19*BI19)/(1000-AS19*BH19))/(100*AZ19)</f>
        <v>0</v>
      </c>
      <c r="AF19">
        <f>1000*BL19*AS19*(BH19-BI19)/(100*AZ19*(1000-AS19*BH19))</f>
        <v>0</v>
      </c>
      <c r="AG19">
        <f>(AH19 - AI19 - BM19*1E3/(8.314*(BO19+273.15)) * AK19/BL19 * AJ19) * BL19/(100*AZ19) * (1000 - BI19)/1000</f>
        <v>0</v>
      </c>
      <c r="AH19">
        <v>411.0574550868709</v>
      </c>
      <c r="AI19">
        <v>409.3493636363635</v>
      </c>
      <c r="AJ19">
        <v>-0.0003514819999049447</v>
      </c>
      <c r="AK19">
        <v>66.96165634784519</v>
      </c>
      <c r="AL19">
        <f>(AN19 - AM19 + BM19*1E3/(8.314*(BO19+273.15)) * AP19/BL19 * AO19) * BL19/(100*AZ19) * 1000/(1000 - AN19)</f>
        <v>0</v>
      </c>
      <c r="AM19">
        <v>14.95187615849196</v>
      </c>
      <c r="AN19">
        <v>15.31734848484847</v>
      </c>
      <c r="AO19">
        <v>0.00115454552541073</v>
      </c>
      <c r="AP19">
        <v>79.15397847657239</v>
      </c>
      <c r="AQ19">
        <v>312</v>
      </c>
      <c r="AR19">
        <v>39</v>
      </c>
      <c r="AS19">
        <f>IF(AQ19*$H$13&gt;=AU19,1.0,(AU19/(AU19-AQ19*$H$13)))</f>
        <v>0</v>
      </c>
      <c r="AT19">
        <f>(AS19-1)*100</f>
        <v>0</v>
      </c>
      <c r="AU19">
        <f>MAX(0,($B$13+$C$13*BT19)/(1+$D$13*BT19)*BM19/(BO19+273)*$E$13)</f>
        <v>0</v>
      </c>
      <c r="AV19">
        <f>$B$11*BU19+$C$11*BV19+$F$11*CG19*(1-CJ19)</f>
        <v>0</v>
      </c>
      <c r="AW19">
        <f>AV19*AX19</f>
        <v>0</v>
      </c>
      <c r="AX19">
        <f>($B$11*$D$9+$C$11*$D$9+$F$11*((CT19+CL19)/MAX(CT19+CL19+CU19, 0.1)*$I$9+CU19/MAX(CT19+CL19+CU19, 0.1)*$J$9))/($B$11+$C$11+$F$11)</f>
        <v>0</v>
      </c>
      <c r="AY19">
        <f>($B$11*$K$9+$C$11*$K$9+$F$11*((CT19+CL19)/MAX(CT19+CL19+CU19, 0.1)*$P$9+CU19/MAX(CT19+CL19+CU19, 0.1)*$Q$9))/($B$11+$C$11+$F$11)</f>
        <v>0</v>
      </c>
      <c r="AZ19">
        <v>6</v>
      </c>
      <c r="BA19">
        <v>0.5</v>
      </c>
      <c r="BB19" t="s">
        <v>353</v>
      </c>
      <c r="BC19">
        <v>2</v>
      </c>
      <c r="BD19" t="b">
        <v>0</v>
      </c>
      <c r="BE19">
        <v>1750957574</v>
      </c>
      <c r="BF19">
        <v>403.0859032258064</v>
      </c>
      <c r="BG19">
        <v>404.9313870967742</v>
      </c>
      <c r="BH19">
        <v>15.24270322580645</v>
      </c>
      <c r="BI19">
        <v>14.94000645161291</v>
      </c>
      <c r="BJ19">
        <v>401.4669032258064</v>
      </c>
      <c r="BK19">
        <v>15.19270322580645</v>
      </c>
      <c r="BL19">
        <v>799.9999999999999</v>
      </c>
      <c r="BM19">
        <v>101.2307096774193</v>
      </c>
      <c r="BN19">
        <v>0.09998554516129031</v>
      </c>
      <c r="BO19">
        <v>23.10539032258065</v>
      </c>
      <c r="BP19">
        <v>22.6845935483871</v>
      </c>
      <c r="BQ19">
        <v>999.9000000000003</v>
      </c>
      <c r="BR19">
        <v>0</v>
      </c>
      <c r="BS19">
        <v>0</v>
      </c>
      <c r="BT19">
        <v>10000.70709677419</v>
      </c>
      <c r="BU19">
        <v>0</v>
      </c>
      <c r="BV19">
        <v>0.00152894</v>
      </c>
      <c r="BW19">
        <v>-1.809922903225806</v>
      </c>
      <c r="BX19">
        <v>409.3772903225807</v>
      </c>
      <c r="BY19">
        <v>411.072741935484</v>
      </c>
      <c r="BZ19">
        <v>0.341505129032258</v>
      </c>
      <c r="CA19">
        <v>404.9313870967742</v>
      </c>
      <c r="CB19">
        <v>14.94000645161291</v>
      </c>
      <c r="CC19">
        <v>1.546959032258064</v>
      </c>
      <c r="CD19">
        <v>1.512389032258064</v>
      </c>
      <c r="CE19">
        <v>13.44035161290323</v>
      </c>
      <c r="CF19">
        <v>13.09398064516129</v>
      </c>
      <c r="CG19">
        <v>999.971193548387</v>
      </c>
      <c r="CH19">
        <v>0.9600067096774196</v>
      </c>
      <c r="CI19">
        <v>0.03999362258064517</v>
      </c>
      <c r="CJ19">
        <v>0</v>
      </c>
      <c r="CK19">
        <v>3.375806451612904</v>
      </c>
      <c r="CL19">
        <v>0</v>
      </c>
      <c r="CM19">
        <v>7802.335483870969</v>
      </c>
      <c r="CN19">
        <v>7946.707419354837</v>
      </c>
      <c r="CO19">
        <v>36.77190322580645</v>
      </c>
      <c r="CP19">
        <v>40.67312903225805</v>
      </c>
      <c r="CQ19">
        <v>38.24777419354837</v>
      </c>
      <c r="CR19">
        <v>40.8928387096774</v>
      </c>
      <c r="CS19">
        <v>37.03606451612903</v>
      </c>
      <c r="CT19">
        <v>959.9783870967741</v>
      </c>
      <c r="CU19">
        <v>39.99322580645162</v>
      </c>
      <c r="CV19">
        <v>0</v>
      </c>
      <c r="CW19">
        <v>1750957599.5</v>
      </c>
      <c r="CX19">
        <v>0</v>
      </c>
      <c r="CY19">
        <v>1750957599</v>
      </c>
      <c r="CZ19" t="s">
        <v>365</v>
      </c>
      <c r="DA19">
        <v>1750957598</v>
      </c>
      <c r="DB19">
        <v>1750957599</v>
      </c>
      <c r="DC19">
        <v>3</v>
      </c>
      <c r="DD19">
        <v>-0.035</v>
      </c>
      <c r="DE19">
        <v>-0.031</v>
      </c>
      <c r="DF19">
        <v>1.619</v>
      </c>
      <c r="DG19">
        <v>0.05</v>
      </c>
      <c r="DH19">
        <v>405</v>
      </c>
      <c r="DI19">
        <v>15</v>
      </c>
      <c r="DJ19">
        <v>0.34</v>
      </c>
      <c r="DK19">
        <v>0.11</v>
      </c>
      <c r="DL19">
        <v>-1.795724390243903</v>
      </c>
      <c r="DM19">
        <v>-0.2665772822299697</v>
      </c>
      <c r="DN19">
        <v>0.03543889719480976</v>
      </c>
      <c r="DO19">
        <v>0</v>
      </c>
      <c r="DP19">
        <v>0.3428768292682927</v>
      </c>
      <c r="DQ19">
        <v>0.06703312891986035</v>
      </c>
      <c r="DR19">
        <v>0.01480484834709923</v>
      </c>
      <c r="DS19">
        <v>1</v>
      </c>
      <c r="DT19">
        <v>1</v>
      </c>
      <c r="DU19">
        <v>2</v>
      </c>
      <c r="DV19" t="s">
        <v>355</v>
      </c>
      <c r="DW19">
        <v>3.44841</v>
      </c>
      <c r="DX19">
        <v>2.78115</v>
      </c>
      <c r="DY19">
        <v>0.0975747</v>
      </c>
      <c r="DZ19">
        <v>0.0981659</v>
      </c>
      <c r="EA19">
        <v>0.0869601</v>
      </c>
      <c r="EB19">
        <v>0.0850955</v>
      </c>
      <c r="EC19">
        <v>27264.6</v>
      </c>
      <c r="ED19">
        <v>31020.3</v>
      </c>
      <c r="EE19">
        <v>29338.5</v>
      </c>
      <c r="EF19">
        <v>34975.6</v>
      </c>
      <c r="EG19">
        <v>30979.9</v>
      </c>
      <c r="EH19">
        <v>39710.2</v>
      </c>
      <c r="EI19">
        <v>36118.6</v>
      </c>
      <c r="EJ19">
        <v>46283.9</v>
      </c>
      <c r="EK19">
        <v>2.02775</v>
      </c>
      <c r="EL19">
        <v>2.3014</v>
      </c>
      <c r="EM19">
        <v>0.054948</v>
      </c>
      <c r="EN19">
        <v>0</v>
      </c>
      <c r="EO19">
        <v>21.8179</v>
      </c>
      <c r="EP19">
        <v>999.9</v>
      </c>
      <c r="EQ19">
        <v>62.1</v>
      </c>
      <c r="ER19">
        <v>23</v>
      </c>
      <c r="ES19">
        <v>17.2979</v>
      </c>
      <c r="ET19">
        <v>62.02</v>
      </c>
      <c r="EU19">
        <v>26.0337</v>
      </c>
      <c r="EV19">
        <v>2</v>
      </c>
      <c r="EW19">
        <v>-0.424459</v>
      </c>
      <c r="EX19">
        <v>0</v>
      </c>
      <c r="EY19">
        <v>20.2957</v>
      </c>
      <c r="EZ19">
        <v>5.21474</v>
      </c>
      <c r="FA19">
        <v>11.968</v>
      </c>
      <c r="FB19">
        <v>4.99155</v>
      </c>
      <c r="FC19">
        <v>3.27175</v>
      </c>
      <c r="FD19">
        <v>3067.5</v>
      </c>
      <c r="FE19">
        <v>9999</v>
      </c>
      <c r="FF19">
        <v>9999</v>
      </c>
      <c r="FG19">
        <v>999.9</v>
      </c>
      <c r="FH19">
        <v>4.97263</v>
      </c>
      <c r="FI19">
        <v>1.86246</v>
      </c>
      <c r="FJ19">
        <v>1.86417</v>
      </c>
      <c r="FK19">
        <v>1.86263</v>
      </c>
      <c r="FL19">
        <v>1.86264</v>
      </c>
      <c r="FM19">
        <v>1.86325</v>
      </c>
      <c r="FN19">
        <v>1.85973</v>
      </c>
      <c r="FO19">
        <v>1.86251</v>
      </c>
      <c r="FP19">
        <v>0</v>
      </c>
      <c r="FQ19">
        <v>0</v>
      </c>
      <c r="FR19">
        <v>0</v>
      </c>
      <c r="FS19">
        <v>0</v>
      </c>
      <c r="FT19" t="s">
        <v>356</v>
      </c>
      <c r="FU19" t="s">
        <v>357</v>
      </c>
      <c r="FV19" t="s">
        <v>358</v>
      </c>
      <c r="FW19" t="s">
        <v>358</v>
      </c>
      <c r="FX19" t="s">
        <v>358</v>
      </c>
      <c r="FY19" t="s">
        <v>358</v>
      </c>
      <c r="FZ19">
        <v>0</v>
      </c>
      <c r="GA19">
        <v>100</v>
      </c>
      <c r="GB19">
        <v>100</v>
      </c>
      <c r="GC19">
        <v>1.619</v>
      </c>
      <c r="GD19">
        <v>0.05</v>
      </c>
      <c r="GE19">
        <v>1.937131491192197</v>
      </c>
      <c r="GF19">
        <v>-0.001033730503750798</v>
      </c>
      <c r="GG19">
        <v>9.120241388950126E-07</v>
      </c>
      <c r="GH19">
        <v>-2.246115299815222E-10</v>
      </c>
      <c r="GI19">
        <v>-0.05138743724701786</v>
      </c>
      <c r="GJ19">
        <v>-0.01814858093373864</v>
      </c>
      <c r="GK19">
        <v>0.002091959988359369</v>
      </c>
      <c r="GL19">
        <v>-1.90871700788604E-05</v>
      </c>
      <c r="GM19">
        <v>2</v>
      </c>
      <c r="GN19">
        <v>2210</v>
      </c>
      <c r="GO19">
        <v>1</v>
      </c>
      <c r="GP19">
        <v>26</v>
      </c>
      <c r="GQ19">
        <v>2.9</v>
      </c>
      <c r="GR19">
        <v>4.9</v>
      </c>
      <c r="GS19">
        <v>1.25122</v>
      </c>
      <c r="GT19">
        <v>2.33521</v>
      </c>
      <c r="GU19">
        <v>2.34741</v>
      </c>
      <c r="GV19">
        <v>2.75879</v>
      </c>
      <c r="GW19">
        <v>2.39868</v>
      </c>
      <c r="GX19">
        <v>2.26196</v>
      </c>
      <c r="GY19">
        <v>28.1223</v>
      </c>
      <c r="GZ19">
        <v>16.1109</v>
      </c>
      <c r="HA19">
        <v>18</v>
      </c>
      <c r="HB19">
        <v>452.256</v>
      </c>
      <c r="HC19">
        <v>670.885</v>
      </c>
      <c r="HD19">
        <v>21.8778</v>
      </c>
      <c r="HE19">
        <v>21.7337</v>
      </c>
      <c r="HF19">
        <v>30.0011</v>
      </c>
      <c r="HG19">
        <v>21.584</v>
      </c>
      <c r="HH19">
        <v>21.526</v>
      </c>
      <c r="HI19">
        <v>25.1044</v>
      </c>
      <c r="HJ19">
        <v>20.8394</v>
      </c>
      <c r="HK19">
        <v>4.87524</v>
      </c>
      <c r="HL19">
        <v>-999.9</v>
      </c>
      <c r="HM19">
        <v>405</v>
      </c>
      <c r="HN19">
        <v>15.0381</v>
      </c>
      <c r="HO19">
        <v>100.736</v>
      </c>
      <c r="HP19">
        <v>101.074</v>
      </c>
    </row>
    <row r="20" spans="1:224">
      <c r="A20">
        <v>4</v>
      </c>
      <c r="B20">
        <v>1750957767.5</v>
      </c>
      <c r="C20">
        <v>496.5</v>
      </c>
      <c r="D20" t="s">
        <v>366</v>
      </c>
      <c r="E20" t="s">
        <v>367</v>
      </c>
      <c r="F20">
        <v>15</v>
      </c>
      <c r="G20">
        <v>1750957759.75</v>
      </c>
      <c r="H20">
        <f>(I20)/1000</f>
        <v>0</v>
      </c>
      <c r="I20">
        <f>IF(BD20, AL20, AF20)</f>
        <v>0</v>
      </c>
      <c r="J20">
        <f>IF(BD20, AG20, AE20)</f>
        <v>0</v>
      </c>
      <c r="K20">
        <f>BF20 - IF(AS20&gt;1, J20*AZ20*100.0/(AU20), 0)</f>
        <v>0</v>
      </c>
      <c r="L20">
        <f>((R20-H20/2)*K20-J20)/(R20+H20/2)</f>
        <v>0</v>
      </c>
      <c r="M20">
        <f>L20*(BM20+BN20)/1000.0</f>
        <v>0</v>
      </c>
      <c r="N20">
        <f>(BF20 - IF(AS20&gt;1, J20*AZ20*100.0/(AU20), 0))*(BM20+BN20)/1000.0</f>
        <v>0</v>
      </c>
      <c r="O20">
        <f>2.0/((1/Q20-1/P20)+SIGN(Q20)*SQRT((1/Q20-1/P20)*(1/Q20-1/P20) + 4*BA20/((BA20+1)*(BA20+1))*(2*1/Q20*1/P20-1/P20*1/P20)))</f>
        <v>0</v>
      </c>
      <c r="P20">
        <f>IF(LEFT(BB20,1)&lt;&gt;"0",IF(LEFT(BB20,1)="1",3.0,BC20),$D$5+$E$5*(BT20*BM20/($K$5*1000))+$F$5*(BT20*BM20/($K$5*1000))*MAX(MIN(AZ20,$J$5),$I$5)*MAX(MIN(AZ20,$J$5),$I$5)+$G$5*MAX(MIN(AZ20,$J$5),$I$5)*(BT20*BM20/($K$5*1000))+$H$5*(BT20*BM20/($K$5*1000))*(BT20*BM20/($K$5*1000)))</f>
        <v>0</v>
      </c>
      <c r="Q20">
        <f>H20*(1000-(1000*0.61365*exp(17.502*U20/(240.97+U20))/(BM20+BN20)+BH20)/2)/(1000*0.61365*exp(17.502*U20/(240.97+U20))/(BM20+BN20)-BH20)</f>
        <v>0</v>
      </c>
      <c r="R20">
        <f>1/((BA20+1)/(O20/1.6)+1/(P20/1.37)) + BA20/((BA20+1)/(O20/1.6) + BA20/(P20/1.37))</f>
        <v>0</v>
      </c>
      <c r="S20">
        <f>(AV20*AY20)</f>
        <v>0</v>
      </c>
      <c r="T20">
        <f>(BO20+(S20+2*0.95*5.67E-8*(((BO20+$B$7)+273)^4-(BO20+273)^4)-44100*H20)/(1.84*29.3*P20+8*0.95*5.67E-8*(BO20+273)^3))</f>
        <v>0</v>
      </c>
      <c r="U20">
        <f>($C$7*BP20+$D$7*BQ20+$E$7*T20)</f>
        <v>0</v>
      </c>
      <c r="V20">
        <f>0.61365*exp(17.502*U20/(240.97+U20))</f>
        <v>0</v>
      </c>
      <c r="W20">
        <f>(X20/Y20*100)</f>
        <v>0</v>
      </c>
      <c r="X20">
        <f>BH20*(BM20+BN20)/1000</f>
        <v>0</v>
      </c>
      <c r="Y20">
        <f>0.61365*exp(17.502*BO20/(240.97+BO20))</f>
        <v>0</v>
      </c>
      <c r="Z20">
        <f>(V20-BH20*(BM20+BN20)/1000)</f>
        <v>0</v>
      </c>
      <c r="AA20">
        <f>(-H20*44100)</f>
        <v>0</v>
      </c>
      <c r="AB20">
        <f>2*29.3*P20*0.92*(BO20-U20)</f>
        <v>0</v>
      </c>
      <c r="AC20">
        <f>2*0.95*5.67E-8*(((BO20+$B$7)+273)^4-(U20+273)^4)</f>
        <v>0</v>
      </c>
      <c r="AD20">
        <f>S20+AC20+AA20+AB20</f>
        <v>0</v>
      </c>
      <c r="AE20">
        <f>BL20*AS20*(BG20-BF20*(1000-AS20*BI20)/(1000-AS20*BH20))/(100*AZ20)</f>
        <v>0</v>
      </c>
      <c r="AF20">
        <f>1000*BL20*AS20*(BH20-BI20)/(100*AZ20*(1000-AS20*BH20))</f>
        <v>0</v>
      </c>
      <c r="AG20">
        <f>(AH20 - AI20 - BM20*1E3/(8.314*(BO20+273.15)) * AK20/BL20 * AJ20) * BL20/(100*AZ20) * (1000 - BI20)/1000</f>
        <v>0</v>
      </c>
      <c r="AH20">
        <v>411.3854918978738</v>
      </c>
      <c r="AI20">
        <v>408.4734727272728</v>
      </c>
      <c r="AJ20">
        <v>0.0007092772928658199</v>
      </c>
      <c r="AK20">
        <v>66.96230085098385</v>
      </c>
      <c r="AL20">
        <f>(AN20 - AM20 + BM20*1E3/(8.314*(BO20+273.15)) * AP20/BL20 * AO20) * BL20/(100*AZ20) * 1000/(1000 - AN20)</f>
        <v>0</v>
      </c>
      <c r="AM20">
        <v>15.6110008391672</v>
      </c>
      <c r="AN20">
        <v>15.97555939393939</v>
      </c>
      <c r="AO20">
        <v>0.003822822864631234</v>
      </c>
      <c r="AP20">
        <v>79.14796039993524</v>
      </c>
      <c r="AQ20">
        <v>204</v>
      </c>
      <c r="AR20">
        <v>26</v>
      </c>
      <c r="AS20">
        <f>IF(AQ20*$H$13&gt;=AU20,1.0,(AU20/(AU20-AQ20*$H$13)))</f>
        <v>0</v>
      </c>
      <c r="AT20">
        <f>(AS20-1)*100</f>
        <v>0</v>
      </c>
      <c r="AU20">
        <f>MAX(0,($B$13+$C$13*BT20)/(1+$D$13*BT20)*BM20/(BO20+273)*$E$13)</f>
        <v>0</v>
      </c>
      <c r="AV20">
        <f>$B$11*BU20+$C$11*BV20+$F$11*CG20*(1-CJ20)</f>
        <v>0</v>
      </c>
      <c r="AW20">
        <f>AV20*AX20</f>
        <v>0</v>
      </c>
      <c r="AX20">
        <f>($B$11*$D$9+$C$11*$D$9+$F$11*((CT20+CL20)/MAX(CT20+CL20+CU20, 0.1)*$I$9+CU20/MAX(CT20+CL20+CU20, 0.1)*$J$9))/($B$11+$C$11+$F$11)</f>
        <v>0</v>
      </c>
      <c r="AY20">
        <f>($B$11*$K$9+$C$11*$K$9+$F$11*((CT20+CL20)/MAX(CT20+CL20+CU20, 0.1)*$P$9+CU20/MAX(CT20+CL20+CU20, 0.1)*$Q$9))/($B$11+$C$11+$F$11)</f>
        <v>0</v>
      </c>
      <c r="AZ20">
        <v>6</v>
      </c>
      <c r="BA20">
        <v>0.5</v>
      </c>
      <c r="BB20" t="s">
        <v>353</v>
      </c>
      <c r="BC20">
        <v>2</v>
      </c>
      <c r="BD20" t="b">
        <v>0</v>
      </c>
      <c r="BE20">
        <v>1750957759.75</v>
      </c>
      <c r="BF20">
        <v>401.8741333333334</v>
      </c>
      <c r="BG20">
        <v>404.9572333333333</v>
      </c>
      <c r="BH20">
        <v>15.91548666666667</v>
      </c>
      <c r="BI20">
        <v>15.58679</v>
      </c>
      <c r="BJ20">
        <v>400.3281333333334</v>
      </c>
      <c r="BK20">
        <v>15.85348666666667</v>
      </c>
      <c r="BL20">
        <v>799.9897666666669</v>
      </c>
      <c r="BM20">
        <v>101.2297</v>
      </c>
      <c r="BN20">
        <v>0.09999432333333334</v>
      </c>
      <c r="BO20">
        <v>23.77716</v>
      </c>
      <c r="BP20">
        <v>23.47100666666667</v>
      </c>
      <c r="BQ20">
        <v>999.9000000000002</v>
      </c>
      <c r="BR20">
        <v>0</v>
      </c>
      <c r="BS20">
        <v>0</v>
      </c>
      <c r="BT20">
        <v>9996.103666666666</v>
      </c>
      <c r="BU20">
        <v>0</v>
      </c>
      <c r="BV20">
        <v>0.00152894</v>
      </c>
      <c r="BW20">
        <v>-3.008770666666666</v>
      </c>
      <c r="BX20">
        <v>408.4565333333334</v>
      </c>
      <c r="BY20">
        <v>411.3692333333334</v>
      </c>
      <c r="BZ20">
        <v>0.3465153333333333</v>
      </c>
      <c r="CA20">
        <v>404.9572333333333</v>
      </c>
      <c r="CB20">
        <v>15.58679</v>
      </c>
      <c r="CC20">
        <v>1.612924333333333</v>
      </c>
      <c r="CD20">
        <v>1.577846666666666</v>
      </c>
      <c r="CE20">
        <v>14.08281666666667</v>
      </c>
      <c r="CF20">
        <v>13.74411666666667</v>
      </c>
      <c r="CG20">
        <v>999.9869</v>
      </c>
      <c r="CH20">
        <v>0.9600103333333332</v>
      </c>
      <c r="CI20">
        <v>0.03998938333333334</v>
      </c>
      <c r="CJ20">
        <v>0</v>
      </c>
      <c r="CK20">
        <v>0.8635</v>
      </c>
      <c r="CL20">
        <v>0</v>
      </c>
      <c r="CM20">
        <v>7123.545666666669</v>
      </c>
      <c r="CN20">
        <v>7946.848000000001</v>
      </c>
      <c r="CO20">
        <v>37.21016666666665</v>
      </c>
      <c r="CP20">
        <v>40.01433333333333</v>
      </c>
      <c r="CQ20">
        <v>38.57063333333333</v>
      </c>
      <c r="CR20">
        <v>39.81849999999999</v>
      </c>
      <c r="CS20">
        <v>37.32053333333332</v>
      </c>
      <c r="CT20">
        <v>959.9966666666667</v>
      </c>
      <c r="CU20">
        <v>39.98933333333333</v>
      </c>
      <c r="CV20">
        <v>0</v>
      </c>
      <c r="CW20">
        <v>1750957784.9</v>
      </c>
      <c r="CX20">
        <v>0</v>
      </c>
      <c r="CY20">
        <v>1750957784.5</v>
      </c>
      <c r="CZ20" t="s">
        <v>368</v>
      </c>
      <c r="DA20">
        <v>1750957783.5</v>
      </c>
      <c r="DB20">
        <v>1750957784.5</v>
      </c>
      <c r="DC20">
        <v>4</v>
      </c>
      <c r="DD20">
        <v>-0.073</v>
      </c>
      <c r="DE20">
        <v>-0.008</v>
      </c>
      <c r="DF20">
        <v>1.546</v>
      </c>
      <c r="DG20">
        <v>0.062</v>
      </c>
      <c r="DH20">
        <v>405</v>
      </c>
      <c r="DI20">
        <v>16</v>
      </c>
      <c r="DJ20">
        <v>0.25</v>
      </c>
      <c r="DK20">
        <v>0.18</v>
      </c>
      <c r="DL20">
        <v>-2.9986255</v>
      </c>
      <c r="DM20">
        <v>-0.1863809380863082</v>
      </c>
      <c r="DN20">
        <v>0.0325014325030451</v>
      </c>
      <c r="DO20">
        <v>0</v>
      </c>
      <c r="DP20">
        <v>0.348590275</v>
      </c>
      <c r="DQ20">
        <v>-0.03977379737335964</v>
      </c>
      <c r="DR20">
        <v>0.01185252587845203</v>
      </c>
      <c r="DS20">
        <v>1</v>
      </c>
      <c r="DT20">
        <v>1</v>
      </c>
      <c r="DU20">
        <v>2</v>
      </c>
      <c r="DV20" t="s">
        <v>355</v>
      </c>
      <c r="DW20">
        <v>3.44872</v>
      </c>
      <c r="DX20">
        <v>2.78079</v>
      </c>
      <c r="DY20">
        <v>0.0972565</v>
      </c>
      <c r="DZ20">
        <v>0.0980608</v>
      </c>
      <c r="EA20">
        <v>0.0896449</v>
      </c>
      <c r="EB20">
        <v>0.0877139</v>
      </c>
      <c r="EC20">
        <v>27256.1</v>
      </c>
      <c r="ED20">
        <v>31005</v>
      </c>
      <c r="EE20">
        <v>29320.7</v>
      </c>
      <c r="EF20">
        <v>34956.6</v>
      </c>
      <c r="EG20">
        <v>30869.6</v>
      </c>
      <c r="EH20">
        <v>39574.3</v>
      </c>
      <c r="EI20">
        <v>36097</v>
      </c>
      <c r="EJ20">
        <v>46257.5</v>
      </c>
      <c r="EK20">
        <v>2.21945</v>
      </c>
      <c r="EL20">
        <v>2.29198</v>
      </c>
      <c r="EM20">
        <v>0.0743009</v>
      </c>
      <c r="EN20">
        <v>0</v>
      </c>
      <c r="EO20">
        <v>22.2679</v>
      </c>
      <c r="EP20">
        <v>999.9</v>
      </c>
      <c r="EQ20">
        <v>61.6</v>
      </c>
      <c r="ER20">
        <v>23.4</v>
      </c>
      <c r="ES20">
        <v>17.5768</v>
      </c>
      <c r="ET20">
        <v>62.3</v>
      </c>
      <c r="EU20">
        <v>25.7933</v>
      </c>
      <c r="EV20">
        <v>2</v>
      </c>
      <c r="EW20">
        <v>-0.389741</v>
      </c>
      <c r="EX20">
        <v>0</v>
      </c>
      <c r="EY20">
        <v>20.2935</v>
      </c>
      <c r="EZ20">
        <v>5.2107</v>
      </c>
      <c r="FA20">
        <v>11.968</v>
      </c>
      <c r="FB20">
        <v>4.9907</v>
      </c>
      <c r="FC20">
        <v>3.27163</v>
      </c>
      <c r="FD20">
        <v>3073.1</v>
      </c>
      <c r="FE20">
        <v>9999</v>
      </c>
      <c r="FF20">
        <v>9999</v>
      </c>
      <c r="FG20">
        <v>999.9</v>
      </c>
      <c r="FH20">
        <v>4.97261</v>
      </c>
      <c r="FI20">
        <v>1.86249</v>
      </c>
      <c r="FJ20">
        <v>1.86421</v>
      </c>
      <c r="FK20">
        <v>1.86264</v>
      </c>
      <c r="FL20">
        <v>1.86264</v>
      </c>
      <c r="FM20">
        <v>1.86325</v>
      </c>
      <c r="FN20">
        <v>1.85974</v>
      </c>
      <c r="FO20">
        <v>1.86255</v>
      </c>
      <c r="FP20">
        <v>0</v>
      </c>
      <c r="FQ20">
        <v>0</v>
      </c>
      <c r="FR20">
        <v>0</v>
      </c>
      <c r="FS20">
        <v>0</v>
      </c>
      <c r="FT20" t="s">
        <v>356</v>
      </c>
      <c r="FU20" t="s">
        <v>357</v>
      </c>
      <c r="FV20" t="s">
        <v>358</v>
      </c>
      <c r="FW20" t="s">
        <v>358</v>
      </c>
      <c r="FX20" t="s">
        <v>358</v>
      </c>
      <c r="FY20" t="s">
        <v>358</v>
      </c>
      <c r="FZ20">
        <v>0</v>
      </c>
      <c r="GA20">
        <v>100</v>
      </c>
      <c r="GB20">
        <v>100</v>
      </c>
      <c r="GC20">
        <v>1.546</v>
      </c>
      <c r="GD20">
        <v>0.062</v>
      </c>
      <c r="GE20">
        <v>1.902409741687755</v>
      </c>
      <c r="GF20">
        <v>-0.001033730503750798</v>
      </c>
      <c r="GG20">
        <v>9.120241388950126E-07</v>
      </c>
      <c r="GH20">
        <v>-2.246115299815222E-10</v>
      </c>
      <c r="GI20">
        <v>-0.08219379470938748</v>
      </c>
      <c r="GJ20">
        <v>-0.01814858093373864</v>
      </c>
      <c r="GK20">
        <v>0.002091959988359369</v>
      </c>
      <c r="GL20">
        <v>-1.90871700788604E-05</v>
      </c>
      <c r="GM20">
        <v>2</v>
      </c>
      <c r="GN20">
        <v>2210</v>
      </c>
      <c r="GO20">
        <v>1</v>
      </c>
      <c r="GP20">
        <v>26</v>
      </c>
      <c r="GQ20">
        <v>2.8</v>
      </c>
      <c r="GR20">
        <v>2.8</v>
      </c>
      <c r="GS20">
        <v>1.2561</v>
      </c>
      <c r="GT20">
        <v>2.34009</v>
      </c>
      <c r="GU20">
        <v>2.34741</v>
      </c>
      <c r="GV20">
        <v>2.75269</v>
      </c>
      <c r="GW20">
        <v>2.39868</v>
      </c>
      <c r="GX20">
        <v>2.25586</v>
      </c>
      <c r="GY20">
        <v>28.5215</v>
      </c>
      <c r="GZ20">
        <v>16.0934</v>
      </c>
      <c r="HA20">
        <v>18</v>
      </c>
      <c r="HB20">
        <v>568.58</v>
      </c>
      <c r="HC20">
        <v>669.498</v>
      </c>
      <c r="HD20">
        <v>22.5148</v>
      </c>
      <c r="HE20">
        <v>22.2313</v>
      </c>
      <c r="HF20">
        <v>30.0007</v>
      </c>
      <c r="HG20">
        <v>22.062</v>
      </c>
      <c r="HH20">
        <v>22.002</v>
      </c>
      <c r="HI20">
        <v>25.1841</v>
      </c>
      <c r="HJ20">
        <v>18.2455</v>
      </c>
      <c r="HK20">
        <v>10.2556</v>
      </c>
      <c r="HL20">
        <v>-999.9</v>
      </c>
      <c r="HM20">
        <v>405</v>
      </c>
      <c r="HN20">
        <v>15.6469</v>
      </c>
      <c r="HO20">
        <v>100.676</v>
      </c>
      <c r="HP20">
        <v>101.017</v>
      </c>
    </row>
    <row r="21" spans="1:224">
      <c r="A21">
        <v>5</v>
      </c>
      <c r="B21">
        <v>1750957944</v>
      </c>
      <c r="C21">
        <v>673</v>
      </c>
      <c r="D21" t="s">
        <v>369</v>
      </c>
      <c r="E21" t="s">
        <v>370</v>
      </c>
      <c r="F21">
        <v>15</v>
      </c>
      <c r="G21">
        <v>1750957936.25</v>
      </c>
      <c r="H21">
        <f>(I21)/1000</f>
        <v>0</v>
      </c>
      <c r="I21">
        <f>IF(BD21, AL21, AF21)</f>
        <v>0</v>
      </c>
      <c r="J21">
        <f>IF(BD21, AG21, AE21)</f>
        <v>0</v>
      </c>
      <c r="K21">
        <f>BF21 - IF(AS21&gt;1, J21*AZ21*100.0/(AU21), 0)</f>
        <v>0</v>
      </c>
      <c r="L21">
        <f>((R21-H21/2)*K21-J21)/(R21+H21/2)</f>
        <v>0</v>
      </c>
      <c r="M21">
        <f>L21*(BM21+BN21)/1000.0</f>
        <v>0</v>
      </c>
      <c r="N21">
        <f>(BF21 - IF(AS21&gt;1, J21*AZ21*100.0/(AU21), 0))*(BM21+BN21)/1000.0</f>
        <v>0</v>
      </c>
      <c r="O21">
        <f>2.0/((1/Q21-1/P21)+SIGN(Q21)*SQRT((1/Q21-1/P21)*(1/Q21-1/P21) + 4*BA21/((BA21+1)*(BA21+1))*(2*1/Q21*1/P21-1/P21*1/P21)))</f>
        <v>0</v>
      </c>
      <c r="P21">
        <f>IF(LEFT(BB21,1)&lt;&gt;"0",IF(LEFT(BB21,1)="1",3.0,BC21),$D$5+$E$5*(BT21*BM21/($K$5*1000))+$F$5*(BT21*BM21/($K$5*1000))*MAX(MIN(AZ21,$J$5),$I$5)*MAX(MIN(AZ21,$J$5),$I$5)+$G$5*MAX(MIN(AZ21,$J$5),$I$5)*(BT21*BM21/($K$5*1000))+$H$5*(BT21*BM21/($K$5*1000))*(BT21*BM21/($K$5*1000)))</f>
        <v>0</v>
      </c>
      <c r="Q21">
        <f>H21*(1000-(1000*0.61365*exp(17.502*U21/(240.97+U21))/(BM21+BN21)+BH21)/2)/(1000*0.61365*exp(17.502*U21/(240.97+U21))/(BM21+BN21)-BH21)</f>
        <v>0</v>
      </c>
      <c r="R21">
        <f>1/((BA21+1)/(O21/1.6)+1/(P21/1.37)) + BA21/((BA21+1)/(O21/1.6) + BA21/(P21/1.37))</f>
        <v>0</v>
      </c>
      <c r="S21">
        <f>(AV21*AY21)</f>
        <v>0</v>
      </c>
      <c r="T21">
        <f>(BO21+(S21+2*0.95*5.67E-8*(((BO21+$B$7)+273)^4-(BO21+273)^4)-44100*H21)/(1.84*29.3*P21+8*0.95*5.67E-8*(BO21+273)^3))</f>
        <v>0</v>
      </c>
      <c r="U21">
        <f>($C$7*BP21+$D$7*BQ21+$E$7*T21)</f>
        <v>0</v>
      </c>
      <c r="V21">
        <f>0.61365*exp(17.502*U21/(240.97+U21))</f>
        <v>0</v>
      </c>
      <c r="W21">
        <f>(X21/Y21*100)</f>
        <v>0</v>
      </c>
      <c r="X21">
        <f>BH21*(BM21+BN21)/1000</f>
        <v>0</v>
      </c>
      <c r="Y21">
        <f>0.61365*exp(17.502*BO21/(240.97+BO21))</f>
        <v>0</v>
      </c>
      <c r="Z21">
        <f>(V21-BH21*(BM21+BN21)/1000)</f>
        <v>0</v>
      </c>
      <c r="AA21">
        <f>(-H21*44100)</f>
        <v>0</v>
      </c>
      <c r="AB21">
        <f>2*29.3*P21*0.92*(BO21-U21)</f>
        <v>0</v>
      </c>
      <c r="AC21">
        <f>2*0.95*5.67E-8*(((BO21+$B$7)+273)^4-(U21+273)^4)</f>
        <v>0</v>
      </c>
      <c r="AD21">
        <f>S21+AC21+AA21+AB21</f>
        <v>0</v>
      </c>
      <c r="AE21">
        <f>BL21*AS21*(BG21-BF21*(1000-AS21*BI21)/(1000-AS21*BH21))/(100*AZ21)</f>
        <v>0</v>
      </c>
      <c r="AF21">
        <f>1000*BL21*AS21*(BH21-BI21)/(100*AZ21*(1000-AS21*BH21))</f>
        <v>0</v>
      </c>
      <c r="AG21">
        <f>(AH21 - AI21 - BM21*1E3/(8.314*(BO21+273.15)) * AK21/BL21 * AJ21) * BL21/(100*AZ21) * (1000 - BI21)/1000</f>
        <v>0</v>
      </c>
      <c r="AH21">
        <v>411.2021992783814</v>
      </c>
      <c r="AI21">
        <v>406.6391999999999</v>
      </c>
      <c r="AJ21">
        <v>-0.0003403004559524805</v>
      </c>
      <c r="AK21">
        <v>66.96321935388021</v>
      </c>
      <c r="AL21">
        <f>(AN21 - AM21 + BM21*1E3/(8.314*(BO21+273.15)) * AP21/BL21 * AO21) * BL21/(100*AZ21) * 1000/(1000 - AN21)</f>
        <v>0</v>
      </c>
      <c r="AM21">
        <v>15.22660856221746</v>
      </c>
      <c r="AN21">
        <v>16.1357903030303</v>
      </c>
      <c r="AO21">
        <v>2.309395623483251E-05</v>
      </c>
      <c r="AP21">
        <v>79.15504844026722</v>
      </c>
      <c r="AQ21">
        <v>679</v>
      </c>
      <c r="AR21">
        <v>85</v>
      </c>
      <c r="AS21">
        <f>IF(AQ21*$H$13&gt;=AU21,1.0,(AU21/(AU21-AQ21*$H$13)))</f>
        <v>0</v>
      </c>
      <c r="AT21">
        <f>(AS21-1)*100</f>
        <v>0</v>
      </c>
      <c r="AU21">
        <f>MAX(0,($B$13+$C$13*BT21)/(1+$D$13*BT21)*BM21/(BO21+273)*$E$13)</f>
        <v>0</v>
      </c>
      <c r="AV21">
        <f>$B$11*BU21+$C$11*BV21+$F$11*CG21*(1-CJ21)</f>
        <v>0</v>
      </c>
      <c r="AW21">
        <f>AV21*AX21</f>
        <v>0</v>
      </c>
      <c r="AX21">
        <f>($B$11*$D$9+$C$11*$D$9+$F$11*((CT21+CL21)/MAX(CT21+CL21+CU21, 0.1)*$I$9+CU21/MAX(CT21+CL21+CU21, 0.1)*$J$9))/($B$11+$C$11+$F$11)</f>
        <v>0</v>
      </c>
      <c r="AY21">
        <f>($B$11*$K$9+$C$11*$K$9+$F$11*((CT21+CL21)/MAX(CT21+CL21+CU21, 0.1)*$P$9+CU21/MAX(CT21+CL21+CU21, 0.1)*$Q$9))/($B$11+$C$11+$F$11)</f>
        <v>0</v>
      </c>
      <c r="AZ21">
        <v>6</v>
      </c>
      <c r="BA21">
        <v>0.5</v>
      </c>
      <c r="BB21" t="s">
        <v>353</v>
      </c>
      <c r="BC21">
        <v>2</v>
      </c>
      <c r="BD21" t="b">
        <v>0</v>
      </c>
      <c r="BE21">
        <v>1750957936.25</v>
      </c>
      <c r="BF21">
        <v>400.0684333333334</v>
      </c>
      <c r="BG21">
        <v>404.9715666666667</v>
      </c>
      <c r="BH21">
        <v>16.10498333333333</v>
      </c>
      <c r="BI21">
        <v>15.22415333333333</v>
      </c>
      <c r="BJ21">
        <v>398.5514333333334</v>
      </c>
      <c r="BK21">
        <v>16.06098333333333</v>
      </c>
      <c r="BL21">
        <v>800.0007999999999</v>
      </c>
      <c r="BM21">
        <v>101.2282</v>
      </c>
      <c r="BN21">
        <v>0.10004005</v>
      </c>
      <c r="BO21">
        <v>23.98549</v>
      </c>
      <c r="BP21">
        <v>23.23798</v>
      </c>
      <c r="BQ21">
        <v>999.9000000000002</v>
      </c>
      <c r="BR21">
        <v>0</v>
      </c>
      <c r="BS21">
        <v>0</v>
      </c>
      <c r="BT21">
        <v>10000.996</v>
      </c>
      <c r="BU21">
        <v>0</v>
      </c>
      <c r="BV21">
        <v>0.00152894</v>
      </c>
      <c r="BW21">
        <v>-4.872498333333334</v>
      </c>
      <c r="BX21">
        <v>406.6624666666667</v>
      </c>
      <c r="BY21">
        <v>411.2323</v>
      </c>
      <c r="BZ21">
        <v>0.9152270333333334</v>
      </c>
      <c r="CA21">
        <v>404.9715666666667</v>
      </c>
      <c r="CB21">
        <v>15.22415333333333</v>
      </c>
      <c r="CC21">
        <v>1.63376</v>
      </c>
      <c r="CD21">
        <v>1.541112333333333</v>
      </c>
      <c r="CE21">
        <v>14.28096</v>
      </c>
      <c r="CF21">
        <v>13.38228333333333</v>
      </c>
      <c r="CG21">
        <v>999.9960333333335</v>
      </c>
      <c r="CH21">
        <v>0.9600080666666667</v>
      </c>
      <c r="CI21">
        <v>0.03999209999999999</v>
      </c>
      <c r="CJ21">
        <v>0</v>
      </c>
      <c r="CK21">
        <v>1.613</v>
      </c>
      <c r="CL21">
        <v>0</v>
      </c>
      <c r="CM21">
        <v>6116.728333333333</v>
      </c>
      <c r="CN21">
        <v>7946.903999999999</v>
      </c>
      <c r="CO21">
        <v>36.22466666666666</v>
      </c>
      <c r="CP21">
        <v>39.71226666666666</v>
      </c>
      <c r="CQ21">
        <v>37.68733333333333</v>
      </c>
      <c r="CR21">
        <v>38.6164</v>
      </c>
      <c r="CS21">
        <v>36.46226666666666</v>
      </c>
      <c r="CT21">
        <v>960.0059999999999</v>
      </c>
      <c r="CU21">
        <v>39.99</v>
      </c>
      <c r="CV21">
        <v>0</v>
      </c>
      <c r="CW21">
        <v>1750957961.3</v>
      </c>
      <c r="CX21">
        <v>0</v>
      </c>
      <c r="CY21">
        <v>1750957966</v>
      </c>
      <c r="CZ21" t="s">
        <v>371</v>
      </c>
      <c r="DA21">
        <v>1750957965</v>
      </c>
      <c r="DB21">
        <v>1750957966</v>
      </c>
      <c r="DC21">
        <v>5</v>
      </c>
      <c r="DD21">
        <v>-0.028</v>
      </c>
      <c r="DE21">
        <v>-0.005</v>
      </c>
      <c r="DF21">
        <v>1.517</v>
      </c>
      <c r="DG21">
        <v>0.044</v>
      </c>
      <c r="DH21">
        <v>405</v>
      </c>
      <c r="DI21">
        <v>15</v>
      </c>
      <c r="DJ21">
        <v>0.48</v>
      </c>
      <c r="DK21">
        <v>0.08</v>
      </c>
      <c r="DL21">
        <v>-4.864287249999999</v>
      </c>
      <c r="DM21">
        <v>-0.1324006378986793</v>
      </c>
      <c r="DN21">
        <v>0.02004585281142962</v>
      </c>
      <c r="DO21">
        <v>0</v>
      </c>
      <c r="DP21">
        <v>0.9206886749999998</v>
      </c>
      <c r="DQ21">
        <v>-0.1018047467167013</v>
      </c>
      <c r="DR21">
        <v>0.01009807554781479</v>
      </c>
      <c r="DS21">
        <v>0</v>
      </c>
      <c r="DT21">
        <v>0</v>
      </c>
      <c r="DU21">
        <v>2</v>
      </c>
      <c r="DV21" t="s">
        <v>362</v>
      </c>
      <c r="DW21">
        <v>3.44869</v>
      </c>
      <c r="DX21">
        <v>2.78099</v>
      </c>
      <c r="DY21">
        <v>0.09681049999999999</v>
      </c>
      <c r="DZ21">
        <v>0.0979613</v>
      </c>
      <c r="EA21">
        <v>0.09021079999999999</v>
      </c>
      <c r="EB21">
        <v>0.0860374</v>
      </c>
      <c r="EC21">
        <v>27257</v>
      </c>
      <c r="ED21">
        <v>30995.6</v>
      </c>
      <c r="EE21">
        <v>29308.4</v>
      </c>
      <c r="EF21">
        <v>34943.7</v>
      </c>
      <c r="EG21">
        <v>30838.3</v>
      </c>
      <c r="EH21">
        <v>39633.6</v>
      </c>
      <c r="EI21">
        <v>36082.4</v>
      </c>
      <c r="EJ21">
        <v>46241</v>
      </c>
      <c r="EK21">
        <v>0.986475</v>
      </c>
      <c r="EL21">
        <v>2.28253</v>
      </c>
      <c r="EM21">
        <v>0.0413507</v>
      </c>
      <c r="EN21">
        <v>0</v>
      </c>
      <c r="EO21">
        <v>22.5735</v>
      </c>
      <c r="EP21">
        <v>999.9</v>
      </c>
      <c r="EQ21">
        <v>61.4</v>
      </c>
      <c r="ER21">
        <v>23.7</v>
      </c>
      <c r="ES21">
        <v>17.8428</v>
      </c>
      <c r="ET21">
        <v>62.03</v>
      </c>
      <c r="EU21">
        <v>25.8293</v>
      </c>
      <c r="EV21">
        <v>2</v>
      </c>
      <c r="EW21">
        <v>-0.364909</v>
      </c>
      <c r="EX21">
        <v>0</v>
      </c>
      <c r="EY21">
        <v>20.296</v>
      </c>
      <c r="EZ21">
        <v>5.2113</v>
      </c>
      <c r="FA21">
        <v>11.968</v>
      </c>
      <c r="FB21">
        <v>4.9916</v>
      </c>
      <c r="FC21">
        <v>3.27195</v>
      </c>
      <c r="FD21">
        <v>3078.8</v>
      </c>
      <c r="FE21">
        <v>9999</v>
      </c>
      <c r="FF21">
        <v>9999</v>
      </c>
      <c r="FG21">
        <v>999.9</v>
      </c>
      <c r="FH21">
        <v>4.97263</v>
      </c>
      <c r="FI21">
        <v>1.86249</v>
      </c>
      <c r="FJ21">
        <v>1.86427</v>
      </c>
      <c r="FK21">
        <v>1.86264</v>
      </c>
      <c r="FL21">
        <v>1.86272</v>
      </c>
      <c r="FM21">
        <v>1.86333</v>
      </c>
      <c r="FN21">
        <v>1.85975</v>
      </c>
      <c r="FO21">
        <v>1.86263</v>
      </c>
      <c r="FP21">
        <v>0</v>
      </c>
      <c r="FQ21">
        <v>0</v>
      </c>
      <c r="FR21">
        <v>0</v>
      </c>
      <c r="FS21">
        <v>0</v>
      </c>
      <c r="FT21" t="s">
        <v>356</v>
      </c>
      <c r="FU21" t="s">
        <v>357</v>
      </c>
      <c r="FV21" t="s">
        <v>358</v>
      </c>
      <c r="FW21" t="s">
        <v>358</v>
      </c>
      <c r="FX21" t="s">
        <v>358</v>
      </c>
      <c r="FY21" t="s">
        <v>358</v>
      </c>
      <c r="FZ21">
        <v>0</v>
      </c>
      <c r="GA21">
        <v>100</v>
      </c>
      <c r="GB21">
        <v>100</v>
      </c>
      <c r="GC21">
        <v>1.517</v>
      </c>
      <c r="GD21">
        <v>0.044</v>
      </c>
      <c r="GE21">
        <v>1.829047749293052</v>
      </c>
      <c r="GF21">
        <v>-0.001033730503750798</v>
      </c>
      <c r="GG21">
        <v>9.120241388950126E-07</v>
      </c>
      <c r="GH21">
        <v>-2.246115299815222E-10</v>
      </c>
      <c r="GI21">
        <v>-0.0906588074354486</v>
      </c>
      <c r="GJ21">
        <v>-0.01814858093373864</v>
      </c>
      <c r="GK21">
        <v>0.002091959988359369</v>
      </c>
      <c r="GL21">
        <v>-1.90871700788604E-05</v>
      </c>
      <c r="GM21">
        <v>2</v>
      </c>
      <c r="GN21">
        <v>2210</v>
      </c>
      <c r="GO21">
        <v>1</v>
      </c>
      <c r="GP21">
        <v>26</v>
      </c>
      <c r="GQ21">
        <v>2.7</v>
      </c>
      <c r="GR21">
        <v>2.7</v>
      </c>
      <c r="GS21">
        <v>1.25732</v>
      </c>
      <c r="GT21">
        <v>2.33521</v>
      </c>
      <c r="GU21">
        <v>2.34741</v>
      </c>
      <c r="GV21">
        <v>2.74536</v>
      </c>
      <c r="GW21">
        <v>2.39868</v>
      </c>
      <c r="GX21">
        <v>2.27783</v>
      </c>
      <c r="GY21">
        <v>28.8379</v>
      </c>
      <c r="GZ21">
        <v>16.1021</v>
      </c>
      <c r="HA21">
        <v>18</v>
      </c>
      <c r="HB21">
        <v>104.617</v>
      </c>
      <c r="HC21">
        <v>666.566</v>
      </c>
      <c r="HD21">
        <v>22.9948</v>
      </c>
      <c r="HE21">
        <v>22.5967</v>
      </c>
      <c r="HF21">
        <v>30.0006</v>
      </c>
      <c r="HG21">
        <v>22.5138</v>
      </c>
      <c r="HH21">
        <v>22.3672</v>
      </c>
      <c r="HI21">
        <v>25.207</v>
      </c>
      <c r="HJ21">
        <v>21.7249</v>
      </c>
      <c r="HK21">
        <v>14.6355</v>
      </c>
      <c r="HL21">
        <v>-999.9</v>
      </c>
      <c r="HM21">
        <v>405</v>
      </c>
      <c r="HN21">
        <v>15.2983</v>
      </c>
      <c r="HO21">
        <v>100.634</v>
      </c>
      <c r="HP21">
        <v>100.981</v>
      </c>
    </row>
    <row r="22" spans="1:224">
      <c r="A22">
        <v>6</v>
      </c>
      <c r="B22">
        <v>1750958099</v>
      </c>
      <c r="C22">
        <v>828</v>
      </c>
      <c r="D22" t="s">
        <v>372</v>
      </c>
      <c r="E22" t="s">
        <v>373</v>
      </c>
      <c r="F22">
        <v>15</v>
      </c>
      <c r="G22">
        <v>1750958091</v>
      </c>
      <c r="H22">
        <f>(I22)/1000</f>
        <v>0</v>
      </c>
      <c r="I22">
        <f>IF(BD22, AL22, AF22)</f>
        <v>0</v>
      </c>
      <c r="J22">
        <f>IF(BD22, AG22, AE22)</f>
        <v>0</v>
      </c>
      <c r="K22">
        <f>BF22 - IF(AS22&gt;1, J22*AZ22*100.0/(AU22), 0)</f>
        <v>0</v>
      </c>
      <c r="L22">
        <f>((R22-H22/2)*K22-J22)/(R22+H22/2)</f>
        <v>0</v>
      </c>
      <c r="M22">
        <f>L22*(BM22+BN22)/1000.0</f>
        <v>0</v>
      </c>
      <c r="N22">
        <f>(BF22 - IF(AS22&gt;1, J22*AZ22*100.0/(AU22), 0))*(BM22+BN22)/1000.0</f>
        <v>0</v>
      </c>
      <c r="O22">
        <f>2.0/((1/Q22-1/P22)+SIGN(Q22)*SQRT((1/Q22-1/P22)*(1/Q22-1/P22) + 4*BA22/((BA22+1)*(BA22+1))*(2*1/Q22*1/P22-1/P22*1/P22)))</f>
        <v>0</v>
      </c>
      <c r="P22">
        <f>IF(LEFT(BB22,1)&lt;&gt;"0",IF(LEFT(BB22,1)="1",3.0,BC22),$D$5+$E$5*(BT22*BM22/($K$5*1000))+$F$5*(BT22*BM22/($K$5*1000))*MAX(MIN(AZ22,$J$5),$I$5)*MAX(MIN(AZ22,$J$5),$I$5)+$G$5*MAX(MIN(AZ22,$J$5),$I$5)*(BT22*BM22/($K$5*1000))+$H$5*(BT22*BM22/($K$5*1000))*(BT22*BM22/($K$5*1000)))</f>
        <v>0</v>
      </c>
      <c r="Q22">
        <f>H22*(1000-(1000*0.61365*exp(17.502*U22/(240.97+U22))/(BM22+BN22)+BH22)/2)/(1000*0.61365*exp(17.502*U22/(240.97+U22))/(BM22+BN22)-BH22)</f>
        <v>0</v>
      </c>
      <c r="R22">
        <f>1/((BA22+1)/(O22/1.6)+1/(P22/1.37)) + BA22/((BA22+1)/(O22/1.6) + BA22/(P22/1.37))</f>
        <v>0</v>
      </c>
      <c r="S22">
        <f>(AV22*AY22)</f>
        <v>0</v>
      </c>
      <c r="T22">
        <f>(BO22+(S22+2*0.95*5.67E-8*(((BO22+$B$7)+273)^4-(BO22+273)^4)-44100*H22)/(1.84*29.3*P22+8*0.95*5.67E-8*(BO22+273)^3))</f>
        <v>0</v>
      </c>
      <c r="U22">
        <f>($C$7*BP22+$D$7*BQ22+$E$7*T22)</f>
        <v>0</v>
      </c>
      <c r="V22">
        <f>0.61365*exp(17.502*U22/(240.97+U22))</f>
        <v>0</v>
      </c>
      <c r="W22">
        <f>(X22/Y22*100)</f>
        <v>0</v>
      </c>
      <c r="X22">
        <f>BH22*(BM22+BN22)/1000</f>
        <v>0</v>
      </c>
      <c r="Y22">
        <f>0.61365*exp(17.502*BO22/(240.97+BO22))</f>
        <v>0</v>
      </c>
      <c r="Z22">
        <f>(V22-BH22*(BM22+BN22)/1000)</f>
        <v>0</v>
      </c>
      <c r="AA22">
        <f>(-H22*44100)</f>
        <v>0</v>
      </c>
      <c r="AB22">
        <f>2*29.3*P22*0.92*(BO22-U22)</f>
        <v>0</v>
      </c>
      <c r="AC22">
        <f>2*0.95*5.67E-8*(((BO22+$B$7)+273)^4-(U22+273)^4)</f>
        <v>0</v>
      </c>
      <c r="AD22">
        <f>S22+AC22+AA22+AB22</f>
        <v>0</v>
      </c>
      <c r="AE22">
        <f>BL22*AS22*(BG22-BF22*(1000-AS22*BI22)/(1000-AS22*BH22))/(100*AZ22)</f>
        <v>0</v>
      </c>
      <c r="AF22">
        <f>1000*BL22*AS22*(BH22-BI22)/(100*AZ22*(1000-AS22*BH22))</f>
        <v>0</v>
      </c>
      <c r="AG22">
        <f>(AH22 - AI22 - BM22*1E3/(8.314*(BO22+273.15)) * AK22/BL22 * AJ22) * BL22/(100*AZ22) * (1000 - BI22)/1000</f>
        <v>0</v>
      </c>
      <c r="AH22">
        <v>411.5075354058314</v>
      </c>
      <c r="AI22">
        <v>407.5634848484847</v>
      </c>
      <c r="AJ22">
        <v>-0.0002717973944574189</v>
      </c>
      <c r="AK22">
        <v>66.96044290100171</v>
      </c>
      <c r="AL22">
        <f>(AN22 - AM22 + BM22*1E3/(8.314*(BO22+273.15)) * AP22/BL22 * AO22) * BL22/(100*AZ22) * 1000/(1000 - AN22)</f>
        <v>0</v>
      </c>
      <c r="AM22">
        <v>15.86261300996693</v>
      </c>
      <c r="AN22">
        <v>16.46797515151515</v>
      </c>
      <c r="AO22">
        <v>0.0001219973161829548</v>
      </c>
      <c r="AP22">
        <v>79.18636073965038</v>
      </c>
      <c r="AQ22">
        <v>341</v>
      </c>
      <c r="AR22">
        <v>43</v>
      </c>
      <c r="AS22">
        <f>IF(AQ22*$H$13&gt;=AU22,1.0,(AU22/(AU22-AQ22*$H$13)))</f>
        <v>0</v>
      </c>
      <c r="AT22">
        <f>(AS22-1)*100</f>
        <v>0</v>
      </c>
      <c r="AU22">
        <f>MAX(0,($B$13+$C$13*BT22)/(1+$D$13*BT22)*BM22/(BO22+273)*$E$13)</f>
        <v>0</v>
      </c>
      <c r="AV22">
        <f>$B$11*BU22+$C$11*BV22+$F$11*CG22*(1-CJ22)</f>
        <v>0</v>
      </c>
      <c r="AW22">
        <f>AV22*AX22</f>
        <v>0</v>
      </c>
      <c r="AX22">
        <f>($B$11*$D$9+$C$11*$D$9+$F$11*((CT22+CL22)/MAX(CT22+CL22+CU22, 0.1)*$I$9+CU22/MAX(CT22+CL22+CU22, 0.1)*$J$9))/($B$11+$C$11+$F$11)</f>
        <v>0</v>
      </c>
      <c r="AY22">
        <f>($B$11*$K$9+$C$11*$K$9+$F$11*((CT22+CL22)/MAX(CT22+CL22+CU22, 0.1)*$P$9+CU22/MAX(CT22+CL22+CU22, 0.1)*$Q$9))/($B$11+$C$11+$F$11)</f>
        <v>0</v>
      </c>
      <c r="AZ22">
        <v>6</v>
      </c>
      <c r="BA22">
        <v>0.5</v>
      </c>
      <c r="BB22" t="s">
        <v>353</v>
      </c>
      <c r="BC22">
        <v>2</v>
      </c>
      <c r="BD22" t="b">
        <v>0</v>
      </c>
      <c r="BE22">
        <v>1750958091</v>
      </c>
      <c r="BF22">
        <v>400.8020967741936</v>
      </c>
      <c r="BG22">
        <v>404.9737741935483</v>
      </c>
      <c r="BH22">
        <v>16.43450967741936</v>
      </c>
      <c r="BI22">
        <v>15.86121290322581</v>
      </c>
      <c r="BJ22">
        <v>399.3500967741936</v>
      </c>
      <c r="BK22">
        <v>16.37250967741936</v>
      </c>
      <c r="BL22">
        <v>799.9770967741933</v>
      </c>
      <c r="BM22">
        <v>101.2295483870967</v>
      </c>
      <c r="BN22">
        <v>0.09998274516129031</v>
      </c>
      <c r="BO22">
        <v>24.22674838709677</v>
      </c>
      <c r="BP22">
        <v>23.98803870967741</v>
      </c>
      <c r="BQ22">
        <v>999.9000000000003</v>
      </c>
      <c r="BR22">
        <v>0</v>
      </c>
      <c r="BS22">
        <v>0</v>
      </c>
      <c r="BT22">
        <v>10000.46387096774</v>
      </c>
      <c r="BU22">
        <v>0</v>
      </c>
      <c r="BV22">
        <v>0.00152894</v>
      </c>
      <c r="BW22">
        <v>-4.104728387096774</v>
      </c>
      <c r="BX22">
        <v>407.5764193548388</v>
      </c>
      <c r="BY22">
        <v>411.5007096774194</v>
      </c>
      <c r="BZ22">
        <v>0.5953316774193548</v>
      </c>
      <c r="CA22">
        <v>404.9737741935483</v>
      </c>
      <c r="CB22">
        <v>15.86121290322581</v>
      </c>
      <c r="CC22">
        <v>1.665889032258065</v>
      </c>
      <c r="CD22">
        <v>1.605623548387097</v>
      </c>
      <c r="CE22">
        <v>14.58217096774194</v>
      </c>
      <c r="CF22">
        <v>14.01286774193549</v>
      </c>
      <c r="CG22">
        <v>999.9969032258064</v>
      </c>
      <c r="CH22">
        <v>0.9599936129032257</v>
      </c>
      <c r="CI22">
        <v>0.04000610967741937</v>
      </c>
      <c r="CJ22">
        <v>0</v>
      </c>
      <c r="CK22">
        <v>0.7408064516129033</v>
      </c>
      <c r="CL22">
        <v>0</v>
      </c>
      <c r="CM22">
        <v>5840.642580645162</v>
      </c>
      <c r="CN22">
        <v>7946.869354838709</v>
      </c>
      <c r="CO22">
        <v>37.72758064516128</v>
      </c>
      <c r="CP22">
        <v>41.62270967741933</v>
      </c>
      <c r="CQ22">
        <v>39.17312903225806</v>
      </c>
      <c r="CR22">
        <v>41.15909677419355</v>
      </c>
      <c r="CS22">
        <v>37.93119354838709</v>
      </c>
      <c r="CT22">
        <v>959.9899999999999</v>
      </c>
      <c r="CU22">
        <v>40.00741935483871</v>
      </c>
      <c r="CV22">
        <v>0</v>
      </c>
      <c r="CW22">
        <v>1750958116.1</v>
      </c>
      <c r="CX22">
        <v>0</v>
      </c>
      <c r="CY22">
        <v>1750958119</v>
      </c>
      <c r="CZ22" t="s">
        <v>374</v>
      </c>
      <c r="DA22">
        <v>1750958119</v>
      </c>
      <c r="DB22">
        <v>1750958117</v>
      </c>
      <c r="DC22">
        <v>6</v>
      </c>
      <c r="DD22">
        <v>-0.065</v>
      </c>
      <c r="DE22">
        <v>-0.002</v>
      </c>
      <c r="DF22">
        <v>1.452</v>
      </c>
      <c r="DG22">
        <v>0.062</v>
      </c>
      <c r="DH22">
        <v>405</v>
      </c>
      <c r="DI22">
        <v>16</v>
      </c>
      <c r="DJ22">
        <v>0.32</v>
      </c>
      <c r="DK22">
        <v>0.12</v>
      </c>
      <c r="DL22">
        <v>-4.091332926829269</v>
      </c>
      <c r="DM22">
        <v>-0.1980976306620217</v>
      </c>
      <c r="DN22">
        <v>0.02930470537793085</v>
      </c>
      <c r="DO22">
        <v>0</v>
      </c>
      <c r="DP22">
        <v>0.5880214390243902</v>
      </c>
      <c r="DQ22">
        <v>0.1293221602787455</v>
      </c>
      <c r="DR22">
        <v>0.01297872857850779</v>
      </c>
      <c r="DS22">
        <v>0</v>
      </c>
      <c r="DT22">
        <v>0</v>
      </c>
      <c r="DU22">
        <v>2</v>
      </c>
      <c r="DV22" t="s">
        <v>362</v>
      </c>
      <c r="DW22">
        <v>3.44884</v>
      </c>
      <c r="DX22">
        <v>2.78081</v>
      </c>
      <c r="DY22">
        <v>0.0969314</v>
      </c>
      <c r="DZ22">
        <v>0.0979314</v>
      </c>
      <c r="EA22">
        <v>0.09152639999999999</v>
      </c>
      <c r="EB22">
        <v>0.0886059</v>
      </c>
      <c r="EC22">
        <v>27250.9</v>
      </c>
      <c r="ED22">
        <v>30994</v>
      </c>
      <c r="EE22">
        <v>29306.3</v>
      </c>
      <c r="EF22">
        <v>34941.6</v>
      </c>
      <c r="EG22">
        <v>30791.8</v>
      </c>
      <c r="EH22">
        <v>39520.2</v>
      </c>
      <c r="EI22">
        <v>36080.7</v>
      </c>
      <c r="EJ22">
        <v>46238.7</v>
      </c>
      <c r="EK22">
        <v>1.95368</v>
      </c>
      <c r="EL22">
        <v>2.27968</v>
      </c>
      <c r="EM22">
        <v>0.0858679</v>
      </c>
      <c r="EN22">
        <v>0</v>
      </c>
      <c r="EO22">
        <v>22.5833</v>
      </c>
      <c r="EP22">
        <v>999.9</v>
      </c>
      <c r="EQ22">
        <v>61.2</v>
      </c>
      <c r="ER22">
        <v>23.9</v>
      </c>
      <c r="ES22">
        <v>17.997</v>
      </c>
      <c r="ET22">
        <v>61.92</v>
      </c>
      <c r="EU22">
        <v>25.8133</v>
      </c>
      <c r="EV22">
        <v>2</v>
      </c>
      <c r="EW22">
        <v>-0.355506</v>
      </c>
      <c r="EX22">
        <v>0</v>
      </c>
      <c r="EY22">
        <v>20.2956</v>
      </c>
      <c r="EZ22">
        <v>5.2116</v>
      </c>
      <c r="FA22">
        <v>11.968</v>
      </c>
      <c r="FB22">
        <v>4.99085</v>
      </c>
      <c r="FC22">
        <v>3.2715</v>
      </c>
      <c r="FD22">
        <v>3083.7</v>
      </c>
      <c r="FE22">
        <v>9999</v>
      </c>
      <c r="FF22">
        <v>9999</v>
      </c>
      <c r="FG22">
        <v>999.9</v>
      </c>
      <c r="FH22">
        <v>4.97261</v>
      </c>
      <c r="FI22">
        <v>1.86251</v>
      </c>
      <c r="FJ22">
        <v>1.86429</v>
      </c>
      <c r="FK22">
        <v>1.86269</v>
      </c>
      <c r="FL22">
        <v>1.86275</v>
      </c>
      <c r="FM22">
        <v>1.86333</v>
      </c>
      <c r="FN22">
        <v>1.85975</v>
      </c>
      <c r="FO22">
        <v>1.86264</v>
      </c>
      <c r="FP22">
        <v>0</v>
      </c>
      <c r="FQ22">
        <v>0</v>
      </c>
      <c r="FR22">
        <v>0</v>
      </c>
      <c r="FS22">
        <v>0</v>
      </c>
      <c r="FT22" t="s">
        <v>356</v>
      </c>
      <c r="FU22" t="s">
        <v>357</v>
      </c>
      <c r="FV22" t="s">
        <v>358</v>
      </c>
      <c r="FW22" t="s">
        <v>358</v>
      </c>
      <c r="FX22" t="s">
        <v>358</v>
      </c>
      <c r="FY22" t="s">
        <v>358</v>
      </c>
      <c r="FZ22">
        <v>0</v>
      </c>
      <c r="GA22">
        <v>100</v>
      </c>
      <c r="GB22">
        <v>100</v>
      </c>
      <c r="GC22">
        <v>1.452</v>
      </c>
      <c r="GD22">
        <v>0.062</v>
      </c>
      <c r="GE22">
        <v>1.800663560437679</v>
      </c>
      <c r="GF22">
        <v>-0.001033730503750798</v>
      </c>
      <c r="GG22">
        <v>9.120241388950126E-07</v>
      </c>
      <c r="GH22">
        <v>-2.246115299815222E-10</v>
      </c>
      <c r="GI22">
        <v>-0.09582476667588685</v>
      </c>
      <c r="GJ22">
        <v>-0.01814858093373864</v>
      </c>
      <c r="GK22">
        <v>0.002091959988359369</v>
      </c>
      <c r="GL22">
        <v>-1.90871700788604E-05</v>
      </c>
      <c r="GM22">
        <v>2</v>
      </c>
      <c r="GN22">
        <v>2210</v>
      </c>
      <c r="GO22">
        <v>1</v>
      </c>
      <c r="GP22">
        <v>26</v>
      </c>
      <c r="GQ22">
        <v>2.2</v>
      </c>
      <c r="GR22">
        <v>2.2</v>
      </c>
      <c r="GS22">
        <v>1.25977</v>
      </c>
      <c r="GT22">
        <v>2.34253</v>
      </c>
      <c r="GU22">
        <v>2.34741</v>
      </c>
      <c r="GV22">
        <v>2.74292</v>
      </c>
      <c r="GW22">
        <v>2.39868</v>
      </c>
      <c r="GX22">
        <v>2.28271</v>
      </c>
      <c r="GY22">
        <v>29.0282</v>
      </c>
      <c r="GZ22">
        <v>16.0846</v>
      </c>
      <c r="HA22">
        <v>18</v>
      </c>
      <c r="HB22">
        <v>422.015</v>
      </c>
      <c r="HC22">
        <v>666.766</v>
      </c>
      <c r="HD22">
        <v>23.2583</v>
      </c>
      <c r="HE22">
        <v>22.7685</v>
      </c>
      <c r="HF22">
        <v>30.0003</v>
      </c>
      <c r="HG22">
        <v>22.6273</v>
      </c>
      <c r="HH22">
        <v>22.5611</v>
      </c>
      <c r="HI22">
        <v>25.2515</v>
      </c>
      <c r="HJ22">
        <v>19.0984</v>
      </c>
      <c r="HK22">
        <v>20.1379</v>
      </c>
      <c r="HL22">
        <v>-999.9</v>
      </c>
      <c r="HM22">
        <v>405</v>
      </c>
      <c r="HN22">
        <v>15.8011</v>
      </c>
      <c r="HO22">
        <v>100.629</v>
      </c>
      <c r="HP22">
        <v>100.975</v>
      </c>
    </row>
    <row r="23" spans="1:224">
      <c r="A23">
        <v>7</v>
      </c>
      <c r="B23">
        <v>1750958214</v>
      </c>
      <c r="C23">
        <v>943</v>
      </c>
      <c r="D23" t="s">
        <v>375</v>
      </c>
      <c r="E23" t="s">
        <v>376</v>
      </c>
      <c r="F23">
        <v>15</v>
      </c>
      <c r="G23">
        <v>1750958206</v>
      </c>
      <c r="H23">
        <f>(I23)/1000</f>
        <v>0</v>
      </c>
      <c r="I23">
        <f>IF(BD23, AL23, AF23)</f>
        <v>0</v>
      </c>
      <c r="J23">
        <f>IF(BD23, AG23, AE23)</f>
        <v>0</v>
      </c>
      <c r="K23">
        <f>BF23 - IF(AS23&gt;1, J23*AZ23*100.0/(AU23), 0)</f>
        <v>0</v>
      </c>
      <c r="L23">
        <f>((R23-H23/2)*K23-J23)/(R23+H23/2)</f>
        <v>0</v>
      </c>
      <c r="M23">
        <f>L23*(BM23+BN23)/1000.0</f>
        <v>0</v>
      </c>
      <c r="N23">
        <f>(BF23 - IF(AS23&gt;1, J23*AZ23*100.0/(AU23), 0))*(BM23+BN23)/1000.0</f>
        <v>0</v>
      </c>
      <c r="O23">
        <f>2.0/((1/Q23-1/P23)+SIGN(Q23)*SQRT((1/Q23-1/P23)*(1/Q23-1/P23) + 4*BA23/((BA23+1)*(BA23+1))*(2*1/Q23*1/P23-1/P23*1/P23)))</f>
        <v>0</v>
      </c>
      <c r="P23">
        <f>IF(LEFT(BB23,1)&lt;&gt;"0",IF(LEFT(BB23,1)="1",3.0,BC23),$D$5+$E$5*(BT23*BM23/($K$5*1000))+$F$5*(BT23*BM23/($K$5*1000))*MAX(MIN(AZ23,$J$5),$I$5)*MAX(MIN(AZ23,$J$5),$I$5)+$G$5*MAX(MIN(AZ23,$J$5),$I$5)*(BT23*BM23/($K$5*1000))+$H$5*(BT23*BM23/($K$5*1000))*(BT23*BM23/($K$5*1000)))</f>
        <v>0</v>
      </c>
      <c r="Q23">
        <f>H23*(1000-(1000*0.61365*exp(17.502*U23/(240.97+U23))/(BM23+BN23)+BH23)/2)/(1000*0.61365*exp(17.502*U23/(240.97+U23))/(BM23+BN23)-BH23)</f>
        <v>0</v>
      </c>
      <c r="R23">
        <f>1/((BA23+1)/(O23/1.6)+1/(P23/1.37)) + BA23/((BA23+1)/(O23/1.6) + BA23/(P23/1.37))</f>
        <v>0</v>
      </c>
      <c r="S23">
        <f>(AV23*AY23)</f>
        <v>0</v>
      </c>
      <c r="T23">
        <f>(BO23+(S23+2*0.95*5.67E-8*(((BO23+$B$7)+273)^4-(BO23+273)^4)-44100*H23)/(1.84*29.3*P23+8*0.95*5.67E-8*(BO23+273)^3))</f>
        <v>0</v>
      </c>
      <c r="U23">
        <f>($C$7*BP23+$D$7*BQ23+$E$7*T23)</f>
        <v>0</v>
      </c>
      <c r="V23">
        <f>0.61365*exp(17.502*U23/(240.97+U23))</f>
        <v>0</v>
      </c>
      <c r="W23">
        <f>(X23/Y23*100)</f>
        <v>0</v>
      </c>
      <c r="X23">
        <f>BH23*(BM23+BN23)/1000</f>
        <v>0</v>
      </c>
      <c r="Y23">
        <f>0.61365*exp(17.502*BO23/(240.97+BO23))</f>
        <v>0</v>
      </c>
      <c r="Z23">
        <f>(V23-BH23*(BM23+BN23)/1000)</f>
        <v>0</v>
      </c>
      <c r="AA23">
        <f>(-H23*44100)</f>
        <v>0</v>
      </c>
      <c r="AB23">
        <f>2*29.3*P23*0.92*(BO23-U23)</f>
        <v>0</v>
      </c>
      <c r="AC23">
        <f>2*0.95*5.67E-8*(((BO23+$B$7)+273)^4-(U23+273)^4)</f>
        <v>0</v>
      </c>
      <c r="AD23">
        <f>S23+AC23+AA23+AB23</f>
        <v>0</v>
      </c>
      <c r="AE23">
        <f>BL23*AS23*(BG23-BF23*(1000-AS23*BI23)/(1000-AS23*BH23))/(100*AZ23)</f>
        <v>0</v>
      </c>
      <c r="AF23">
        <f>1000*BL23*AS23*(BH23-BI23)/(100*AZ23*(1000-AS23*BH23))</f>
        <v>0</v>
      </c>
      <c r="AG23">
        <f>(AH23 - AI23 - BM23*1E3/(8.314*(BO23+273.15)) * AK23/BL23 * AJ23) * BL23/(100*AZ23) * (1000 - BI23)/1000</f>
        <v>0</v>
      </c>
      <c r="AH23">
        <v>411.5757645526965</v>
      </c>
      <c r="AI23">
        <v>408.8812242424242</v>
      </c>
      <c r="AJ23">
        <v>-0.0060905437592666</v>
      </c>
      <c r="AK23">
        <v>66.96196770465886</v>
      </c>
      <c r="AL23">
        <f>(AN23 - AM23 + BM23*1E3/(8.314*(BO23+273.15)) * AP23/BL23 * AO23) * BL23/(100*AZ23) * 1000/(1000 - AN23)</f>
        <v>0</v>
      </c>
      <c r="AM23">
        <v>16.0416891399965</v>
      </c>
      <c r="AN23">
        <v>16.58067454545454</v>
      </c>
      <c r="AO23">
        <v>0.0001055587002839728</v>
      </c>
      <c r="AP23">
        <v>79.16797617138796</v>
      </c>
      <c r="AQ23">
        <v>285</v>
      </c>
      <c r="AR23">
        <v>36</v>
      </c>
      <c r="AS23">
        <f>IF(AQ23*$H$13&gt;=AU23,1.0,(AU23/(AU23-AQ23*$H$13)))</f>
        <v>0</v>
      </c>
      <c r="AT23">
        <f>(AS23-1)*100</f>
        <v>0</v>
      </c>
      <c r="AU23">
        <f>MAX(0,($B$13+$C$13*BT23)/(1+$D$13*BT23)*BM23/(BO23+273)*$E$13)</f>
        <v>0</v>
      </c>
      <c r="AV23">
        <f>$B$11*BU23+$C$11*BV23+$F$11*CG23*(1-CJ23)</f>
        <v>0</v>
      </c>
      <c r="AW23">
        <f>AV23*AX23</f>
        <v>0</v>
      </c>
      <c r="AX23">
        <f>($B$11*$D$9+$C$11*$D$9+$F$11*((CT23+CL23)/MAX(CT23+CL23+CU23, 0.1)*$I$9+CU23/MAX(CT23+CL23+CU23, 0.1)*$J$9))/($B$11+$C$11+$F$11)</f>
        <v>0</v>
      </c>
      <c r="AY23">
        <f>($B$11*$K$9+$C$11*$K$9+$F$11*((CT23+CL23)/MAX(CT23+CL23+CU23, 0.1)*$P$9+CU23/MAX(CT23+CL23+CU23, 0.1)*$Q$9))/($B$11+$C$11+$F$11)</f>
        <v>0</v>
      </c>
      <c r="AZ23">
        <v>6</v>
      </c>
      <c r="BA23">
        <v>0.5</v>
      </c>
      <c r="BB23" t="s">
        <v>353</v>
      </c>
      <c r="BC23">
        <v>2</v>
      </c>
      <c r="BD23" t="b">
        <v>0</v>
      </c>
      <c r="BE23">
        <v>1750958206</v>
      </c>
      <c r="BF23">
        <v>402.1060967741935</v>
      </c>
      <c r="BG23">
        <v>404.9675483870967</v>
      </c>
      <c r="BH23">
        <v>16.55105483870968</v>
      </c>
      <c r="BI23">
        <v>16.03607741935484</v>
      </c>
      <c r="BJ23">
        <v>400.6940967741936</v>
      </c>
      <c r="BK23">
        <v>16.48005483870968</v>
      </c>
      <c r="BL23">
        <v>799.9921612903227</v>
      </c>
      <c r="BM23">
        <v>101.2333548387097</v>
      </c>
      <c r="BN23">
        <v>0.1000242774193548</v>
      </c>
      <c r="BO23">
        <v>24.44896129032258</v>
      </c>
      <c r="BP23">
        <v>24.05715161290323</v>
      </c>
      <c r="BQ23">
        <v>999.9000000000003</v>
      </c>
      <c r="BR23">
        <v>0</v>
      </c>
      <c r="BS23">
        <v>0</v>
      </c>
      <c r="BT23">
        <v>9996.753548387096</v>
      </c>
      <c r="BU23">
        <v>0</v>
      </c>
      <c r="BV23">
        <v>0.00152894</v>
      </c>
      <c r="BW23">
        <v>-2.820391935483871</v>
      </c>
      <c r="BX23">
        <v>408.9214838709677</v>
      </c>
      <c r="BY23">
        <v>411.5674193548387</v>
      </c>
      <c r="BZ23">
        <v>0.5300732258064516</v>
      </c>
      <c r="CA23">
        <v>404.9675483870967</v>
      </c>
      <c r="CB23">
        <v>16.03607741935484</v>
      </c>
      <c r="CC23">
        <v>1.677045806451613</v>
      </c>
      <c r="CD23">
        <v>1.623386451612903</v>
      </c>
      <c r="CE23">
        <v>14.68558064516129</v>
      </c>
      <c r="CF23">
        <v>14.1825935483871</v>
      </c>
      <c r="CG23">
        <v>999.9844193548386</v>
      </c>
      <c r="CH23">
        <v>0.9599841290322582</v>
      </c>
      <c r="CI23">
        <v>0.0400156322580645</v>
      </c>
      <c r="CJ23">
        <v>0</v>
      </c>
      <c r="CK23">
        <v>0.06161290322580637</v>
      </c>
      <c r="CL23">
        <v>0</v>
      </c>
      <c r="CM23">
        <v>5949.627096774193</v>
      </c>
      <c r="CN23">
        <v>7946.736129032258</v>
      </c>
      <c r="CO23">
        <v>36.81622580645161</v>
      </c>
      <c r="CP23">
        <v>39.46545161290322</v>
      </c>
      <c r="CQ23">
        <v>38.17306451612903</v>
      </c>
      <c r="CR23">
        <v>38.84248387096774</v>
      </c>
      <c r="CS23">
        <v>37.01383870967742</v>
      </c>
      <c r="CT23">
        <v>959.9696774193548</v>
      </c>
      <c r="CU23">
        <v>40.01612903225806</v>
      </c>
      <c r="CV23">
        <v>0</v>
      </c>
      <c r="CW23">
        <v>1750958231.3</v>
      </c>
      <c r="CX23">
        <v>0</v>
      </c>
      <c r="CY23">
        <v>1750958235</v>
      </c>
      <c r="CZ23" t="s">
        <v>377</v>
      </c>
      <c r="DA23">
        <v>1750958235</v>
      </c>
      <c r="DB23">
        <v>1750958232.5</v>
      </c>
      <c r="DC23">
        <v>7</v>
      </c>
      <c r="DD23">
        <v>-0.039</v>
      </c>
      <c r="DE23">
        <v>0.001</v>
      </c>
      <c r="DF23">
        <v>1.412</v>
      </c>
      <c r="DG23">
        <v>0.07099999999999999</v>
      </c>
      <c r="DH23">
        <v>405</v>
      </c>
      <c r="DI23">
        <v>16</v>
      </c>
      <c r="DJ23">
        <v>0.26</v>
      </c>
      <c r="DK23">
        <v>0.16</v>
      </c>
      <c r="DL23">
        <v>-2.8157445</v>
      </c>
      <c r="DM23">
        <v>-0.1688866041275706</v>
      </c>
      <c r="DN23">
        <v>0.02229789585925092</v>
      </c>
      <c r="DO23">
        <v>0</v>
      </c>
      <c r="DP23">
        <v>0.5254728500000001</v>
      </c>
      <c r="DQ23">
        <v>0.08842865290806692</v>
      </c>
      <c r="DR23">
        <v>0.009040404912253656</v>
      </c>
      <c r="DS23">
        <v>1</v>
      </c>
      <c r="DT23">
        <v>1</v>
      </c>
      <c r="DU23">
        <v>2</v>
      </c>
      <c r="DV23" t="s">
        <v>355</v>
      </c>
      <c r="DW23">
        <v>3.44898</v>
      </c>
      <c r="DX23">
        <v>2.78041</v>
      </c>
      <c r="DY23">
        <v>0.0971577</v>
      </c>
      <c r="DZ23">
        <v>0.0978951</v>
      </c>
      <c r="EA23">
        <v>0.09196409999999999</v>
      </c>
      <c r="EB23">
        <v>0.08931210000000001</v>
      </c>
      <c r="EC23">
        <v>27242.7</v>
      </c>
      <c r="ED23">
        <v>30993.5</v>
      </c>
      <c r="EE23">
        <v>29305</v>
      </c>
      <c r="EF23">
        <v>34940</v>
      </c>
      <c r="EG23">
        <v>30776.4</v>
      </c>
      <c r="EH23">
        <v>39488.1</v>
      </c>
      <c r="EI23">
        <v>36080.2</v>
      </c>
      <c r="EJ23">
        <v>46237</v>
      </c>
      <c r="EK23">
        <v>2.06463</v>
      </c>
      <c r="EL23">
        <v>2.2773</v>
      </c>
      <c r="EM23">
        <v>0.0875071</v>
      </c>
      <c r="EN23">
        <v>0</v>
      </c>
      <c r="EO23">
        <v>22.6453</v>
      </c>
      <c r="EP23">
        <v>999.9</v>
      </c>
      <c r="EQ23">
        <v>61</v>
      </c>
      <c r="ER23">
        <v>24</v>
      </c>
      <c r="ES23">
        <v>18.0477</v>
      </c>
      <c r="ET23">
        <v>62.15</v>
      </c>
      <c r="EU23">
        <v>25.8213</v>
      </c>
      <c r="EV23">
        <v>2</v>
      </c>
      <c r="EW23">
        <v>-0.350948</v>
      </c>
      <c r="EX23">
        <v>0</v>
      </c>
      <c r="EY23">
        <v>20.2935</v>
      </c>
      <c r="EZ23">
        <v>5.2104</v>
      </c>
      <c r="FA23">
        <v>11.968</v>
      </c>
      <c r="FB23">
        <v>4.9906</v>
      </c>
      <c r="FC23">
        <v>3.27132</v>
      </c>
      <c r="FD23">
        <v>3087.2</v>
      </c>
      <c r="FE23">
        <v>9999</v>
      </c>
      <c r="FF23">
        <v>9999</v>
      </c>
      <c r="FG23">
        <v>999.9</v>
      </c>
      <c r="FH23">
        <v>4.97261</v>
      </c>
      <c r="FI23">
        <v>1.86251</v>
      </c>
      <c r="FJ23">
        <v>1.86431</v>
      </c>
      <c r="FK23">
        <v>1.86271</v>
      </c>
      <c r="FL23">
        <v>1.86275</v>
      </c>
      <c r="FM23">
        <v>1.86335</v>
      </c>
      <c r="FN23">
        <v>1.85977</v>
      </c>
      <c r="FO23">
        <v>1.86264</v>
      </c>
      <c r="FP23">
        <v>0</v>
      </c>
      <c r="FQ23">
        <v>0</v>
      </c>
      <c r="FR23">
        <v>0</v>
      </c>
      <c r="FS23">
        <v>0</v>
      </c>
      <c r="FT23" t="s">
        <v>356</v>
      </c>
      <c r="FU23" t="s">
        <v>357</v>
      </c>
      <c r="FV23" t="s">
        <v>358</v>
      </c>
      <c r="FW23" t="s">
        <v>358</v>
      </c>
      <c r="FX23" t="s">
        <v>358</v>
      </c>
      <c r="FY23" t="s">
        <v>358</v>
      </c>
      <c r="FZ23">
        <v>0</v>
      </c>
      <c r="GA23">
        <v>100</v>
      </c>
      <c r="GB23">
        <v>100</v>
      </c>
      <c r="GC23">
        <v>1.412</v>
      </c>
      <c r="GD23">
        <v>0.07099999999999999</v>
      </c>
      <c r="GE23">
        <v>1.735244015907736</v>
      </c>
      <c r="GF23">
        <v>-0.001033730503750798</v>
      </c>
      <c r="GG23">
        <v>9.120241388950126E-07</v>
      </c>
      <c r="GH23">
        <v>-2.246115299815222E-10</v>
      </c>
      <c r="GI23">
        <v>-0.09753674940193036</v>
      </c>
      <c r="GJ23">
        <v>-0.01814858093373864</v>
      </c>
      <c r="GK23">
        <v>0.002091959988359369</v>
      </c>
      <c r="GL23">
        <v>-1.90871700788604E-05</v>
      </c>
      <c r="GM23">
        <v>2</v>
      </c>
      <c r="GN23">
        <v>2210</v>
      </c>
      <c r="GO23">
        <v>1</v>
      </c>
      <c r="GP23">
        <v>26</v>
      </c>
      <c r="GQ23">
        <v>1.6</v>
      </c>
      <c r="GR23">
        <v>1.6</v>
      </c>
      <c r="GS23">
        <v>1.26099</v>
      </c>
      <c r="GT23">
        <v>2.34009</v>
      </c>
      <c r="GU23">
        <v>2.34741</v>
      </c>
      <c r="GV23">
        <v>2.74048</v>
      </c>
      <c r="GW23">
        <v>2.39868</v>
      </c>
      <c r="GX23">
        <v>2.27539</v>
      </c>
      <c r="GY23">
        <v>29.1554</v>
      </c>
      <c r="GZ23">
        <v>16.0758</v>
      </c>
      <c r="HA23">
        <v>18</v>
      </c>
      <c r="HB23">
        <v>481.859</v>
      </c>
      <c r="HC23">
        <v>666.12</v>
      </c>
      <c r="HD23">
        <v>23.4285</v>
      </c>
      <c r="HE23">
        <v>22.8514</v>
      </c>
      <c r="HF23">
        <v>30.0002</v>
      </c>
      <c r="HG23">
        <v>22.719</v>
      </c>
      <c r="HH23">
        <v>22.6608</v>
      </c>
      <c r="HI23">
        <v>25.2748</v>
      </c>
      <c r="HJ23">
        <v>18.1172</v>
      </c>
      <c r="HK23">
        <v>24.4731</v>
      </c>
      <c r="HL23">
        <v>-999.9</v>
      </c>
      <c r="HM23">
        <v>405</v>
      </c>
      <c r="HN23">
        <v>16.1634</v>
      </c>
      <c r="HO23">
        <v>100.626</v>
      </c>
      <c r="HP23">
        <v>100.971</v>
      </c>
    </row>
    <row r="24" spans="1:224">
      <c r="A24">
        <v>8</v>
      </c>
      <c r="B24">
        <v>1750958342.5</v>
      </c>
      <c r="C24">
        <v>1071.5</v>
      </c>
      <c r="D24" t="s">
        <v>378</v>
      </c>
      <c r="E24" t="s">
        <v>379</v>
      </c>
      <c r="F24">
        <v>15</v>
      </c>
      <c r="G24">
        <v>1750958334.75</v>
      </c>
      <c r="H24">
        <f>(I24)/1000</f>
        <v>0</v>
      </c>
      <c r="I24">
        <f>IF(BD24, AL24, AF24)</f>
        <v>0</v>
      </c>
      <c r="J24">
        <f>IF(BD24, AG24, AE24)</f>
        <v>0</v>
      </c>
      <c r="K24">
        <f>BF24 - IF(AS24&gt;1, J24*AZ24*100.0/(AU24), 0)</f>
        <v>0</v>
      </c>
      <c r="L24">
        <f>((R24-H24/2)*K24-J24)/(R24+H24/2)</f>
        <v>0</v>
      </c>
      <c r="M24">
        <f>L24*(BM24+BN24)/1000.0</f>
        <v>0</v>
      </c>
      <c r="N24">
        <f>(BF24 - IF(AS24&gt;1, J24*AZ24*100.0/(AU24), 0))*(BM24+BN24)/1000.0</f>
        <v>0</v>
      </c>
      <c r="O24">
        <f>2.0/((1/Q24-1/P24)+SIGN(Q24)*SQRT((1/Q24-1/P24)*(1/Q24-1/P24) + 4*BA24/((BA24+1)*(BA24+1))*(2*1/Q24*1/P24-1/P24*1/P24)))</f>
        <v>0</v>
      </c>
      <c r="P24">
        <f>IF(LEFT(BB24,1)&lt;&gt;"0",IF(LEFT(BB24,1)="1",3.0,BC24),$D$5+$E$5*(BT24*BM24/($K$5*1000))+$F$5*(BT24*BM24/($K$5*1000))*MAX(MIN(AZ24,$J$5),$I$5)*MAX(MIN(AZ24,$J$5),$I$5)+$G$5*MAX(MIN(AZ24,$J$5),$I$5)*(BT24*BM24/($K$5*1000))+$H$5*(BT24*BM24/($K$5*1000))*(BT24*BM24/($K$5*1000)))</f>
        <v>0</v>
      </c>
      <c r="Q24">
        <f>H24*(1000-(1000*0.61365*exp(17.502*U24/(240.97+U24))/(BM24+BN24)+BH24)/2)/(1000*0.61365*exp(17.502*U24/(240.97+U24))/(BM24+BN24)-BH24)</f>
        <v>0</v>
      </c>
      <c r="R24">
        <f>1/((BA24+1)/(O24/1.6)+1/(P24/1.37)) + BA24/((BA24+1)/(O24/1.6) + BA24/(P24/1.37))</f>
        <v>0</v>
      </c>
      <c r="S24">
        <f>(AV24*AY24)</f>
        <v>0</v>
      </c>
      <c r="T24">
        <f>(BO24+(S24+2*0.95*5.67E-8*(((BO24+$B$7)+273)^4-(BO24+273)^4)-44100*H24)/(1.84*29.3*P24+8*0.95*5.67E-8*(BO24+273)^3))</f>
        <v>0</v>
      </c>
      <c r="U24">
        <f>($C$7*BP24+$D$7*BQ24+$E$7*T24)</f>
        <v>0</v>
      </c>
      <c r="V24">
        <f>0.61365*exp(17.502*U24/(240.97+U24))</f>
        <v>0</v>
      </c>
      <c r="W24">
        <f>(X24/Y24*100)</f>
        <v>0</v>
      </c>
      <c r="X24">
        <f>BH24*(BM24+BN24)/1000</f>
        <v>0</v>
      </c>
      <c r="Y24">
        <f>0.61365*exp(17.502*BO24/(240.97+BO24))</f>
        <v>0</v>
      </c>
      <c r="Z24">
        <f>(V24-BH24*(BM24+BN24)/1000)</f>
        <v>0</v>
      </c>
      <c r="AA24">
        <f>(-H24*44100)</f>
        <v>0</v>
      </c>
      <c r="AB24">
        <f>2*29.3*P24*0.92*(BO24-U24)</f>
        <v>0</v>
      </c>
      <c r="AC24">
        <f>2*0.95*5.67E-8*(((BO24+$B$7)+273)^4-(U24+273)^4)</f>
        <v>0</v>
      </c>
      <c r="AD24">
        <f>S24+AC24+AA24+AB24</f>
        <v>0</v>
      </c>
      <c r="AE24">
        <f>BL24*AS24*(BG24-BF24*(1000-AS24*BI24)/(1000-AS24*BH24))/(100*AZ24)</f>
        <v>0</v>
      </c>
      <c r="AF24">
        <f>1000*BL24*AS24*(BH24-BI24)/(100*AZ24*(1000-AS24*BH24))</f>
        <v>0</v>
      </c>
      <c r="AG24">
        <f>(AH24 - AI24 - BM24*1E3/(8.314*(BO24+273.15)) * AK24/BL24 * AJ24) * BL24/(100*AZ24) * (1000 - BI24)/1000</f>
        <v>0</v>
      </c>
      <c r="AH24">
        <v>411.2919523910876</v>
      </c>
      <c r="AI24">
        <v>405.1917333333333</v>
      </c>
      <c r="AJ24">
        <v>-0.001890622513172121</v>
      </c>
      <c r="AK24">
        <v>66.96234874711062</v>
      </c>
      <c r="AL24">
        <f>(AN24 - AM24 + BM24*1E3/(8.314*(BO24+273.15)) * AP24/BL24 * AO24) * BL24/(100*AZ24) * 1000/(1000 - AN24)</f>
        <v>0</v>
      </c>
      <c r="AM24">
        <v>15.35969787634847</v>
      </c>
      <c r="AN24">
        <v>16.71814424242424</v>
      </c>
      <c r="AO24">
        <v>0.000103739013711174</v>
      </c>
      <c r="AP24">
        <v>79.16395678269804</v>
      </c>
      <c r="AQ24">
        <v>63</v>
      </c>
      <c r="AR24">
        <v>8</v>
      </c>
      <c r="AS24">
        <f>IF(AQ24*$H$13&gt;=AU24,1.0,(AU24/(AU24-AQ24*$H$13)))</f>
        <v>0</v>
      </c>
      <c r="AT24">
        <f>(AS24-1)*100</f>
        <v>0</v>
      </c>
      <c r="AU24">
        <f>MAX(0,($B$13+$C$13*BT24)/(1+$D$13*BT24)*BM24/(BO24+273)*$E$13)</f>
        <v>0</v>
      </c>
      <c r="AV24">
        <f>$B$11*BU24+$C$11*BV24+$F$11*CG24*(1-CJ24)</f>
        <v>0</v>
      </c>
      <c r="AW24">
        <f>AV24*AX24</f>
        <v>0</v>
      </c>
      <c r="AX24">
        <f>($B$11*$D$9+$C$11*$D$9+$F$11*((CT24+CL24)/MAX(CT24+CL24+CU24, 0.1)*$I$9+CU24/MAX(CT24+CL24+CU24, 0.1)*$J$9))/($B$11+$C$11+$F$11)</f>
        <v>0</v>
      </c>
      <c r="AY24">
        <f>($B$11*$K$9+$C$11*$K$9+$F$11*((CT24+CL24)/MAX(CT24+CL24+CU24, 0.1)*$P$9+CU24/MAX(CT24+CL24+CU24, 0.1)*$Q$9))/($B$11+$C$11+$F$11)</f>
        <v>0</v>
      </c>
      <c r="AZ24">
        <v>6</v>
      </c>
      <c r="BA24">
        <v>0.5</v>
      </c>
      <c r="BB24" t="s">
        <v>353</v>
      </c>
      <c r="BC24">
        <v>2</v>
      </c>
      <c r="BD24" t="b">
        <v>0</v>
      </c>
      <c r="BE24">
        <v>1750958334.75</v>
      </c>
      <c r="BF24">
        <v>398.4878333333335</v>
      </c>
      <c r="BG24">
        <v>404.9826</v>
      </c>
      <c r="BH24">
        <v>16.70120333333333</v>
      </c>
      <c r="BI24">
        <v>15.35306333333333</v>
      </c>
      <c r="BJ24">
        <v>397.0628333333335</v>
      </c>
      <c r="BK24">
        <v>16.60955666666667</v>
      </c>
      <c r="BL24">
        <v>800.0134666666668</v>
      </c>
      <c r="BM24">
        <v>101.2343</v>
      </c>
      <c r="BN24">
        <v>0.09999493333333334</v>
      </c>
      <c r="BO24">
        <v>24.56330000000001</v>
      </c>
      <c r="BP24">
        <v>24.24036666666667</v>
      </c>
      <c r="BQ24">
        <v>999.9000000000002</v>
      </c>
      <c r="BR24">
        <v>0</v>
      </c>
      <c r="BS24">
        <v>0</v>
      </c>
      <c r="BT24">
        <v>10003.32833333333</v>
      </c>
      <c r="BU24">
        <v>0</v>
      </c>
      <c r="BV24">
        <v>0.00152894</v>
      </c>
      <c r="BW24">
        <v>-6.504896333333335</v>
      </c>
      <c r="BX24">
        <v>405.2457333333334</v>
      </c>
      <c r="BY24">
        <v>411.2973</v>
      </c>
      <c r="BZ24">
        <v>1.348134</v>
      </c>
      <c r="CA24">
        <v>404.9826</v>
      </c>
      <c r="CB24">
        <v>15.35306333333333</v>
      </c>
      <c r="CC24">
        <v>1.690734666666666</v>
      </c>
      <c r="CD24">
        <v>1.554257333333333</v>
      </c>
      <c r="CE24">
        <v>14.81161666666667</v>
      </c>
      <c r="CF24">
        <v>13.51262</v>
      </c>
      <c r="CG24">
        <v>999.9684000000001</v>
      </c>
      <c r="CH24">
        <v>0.9600005999999996</v>
      </c>
      <c r="CI24">
        <v>0.03999941333333334</v>
      </c>
      <c r="CJ24">
        <v>0</v>
      </c>
      <c r="CK24">
        <v>2.127333333333333</v>
      </c>
      <c r="CL24">
        <v>0</v>
      </c>
      <c r="CM24">
        <v>8378.051666666668</v>
      </c>
      <c r="CN24">
        <v>7946.666666666668</v>
      </c>
      <c r="CO24">
        <v>36.17686666666667</v>
      </c>
      <c r="CP24">
        <v>39.49566666666666</v>
      </c>
      <c r="CQ24">
        <v>37.60603333333333</v>
      </c>
      <c r="CR24">
        <v>38.40186666666666</v>
      </c>
      <c r="CS24">
        <v>36.45816666666666</v>
      </c>
      <c r="CT24">
        <v>959.9700000000001</v>
      </c>
      <c r="CU24">
        <v>39.99866666666667</v>
      </c>
      <c r="CV24">
        <v>0</v>
      </c>
      <c r="CW24">
        <v>1750958359.7</v>
      </c>
      <c r="CX24">
        <v>0</v>
      </c>
      <c r="CY24">
        <v>1750958359.5</v>
      </c>
      <c r="CZ24" t="s">
        <v>380</v>
      </c>
      <c r="DA24">
        <v>1750958359.5</v>
      </c>
      <c r="DB24">
        <v>1750958232.5</v>
      </c>
      <c r="DC24">
        <v>8</v>
      </c>
      <c r="DD24">
        <v>0.012</v>
      </c>
      <c r="DE24">
        <v>0.001</v>
      </c>
      <c r="DF24">
        <v>1.425</v>
      </c>
      <c r="DG24">
        <v>0.07099999999999999</v>
      </c>
      <c r="DH24">
        <v>405</v>
      </c>
      <c r="DI24">
        <v>16</v>
      </c>
      <c r="DJ24">
        <v>0.21</v>
      </c>
      <c r="DK24">
        <v>0.16</v>
      </c>
      <c r="DL24">
        <v>-6.478371000000001</v>
      </c>
      <c r="DM24">
        <v>-0.5727025891181864</v>
      </c>
      <c r="DN24">
        <v>0.06044391515280923</v>
      </c>
      <c r="DO24">
        <v>0</v>
      </c>
      <c r="DP24">
        <v>1.351311</v>
      </c>
      <c r="DQ24">
        <v>-0.01927339587242086</v>
      </c>
      <c r="DR24">
        <v>0.008238065246160636</v>
      </c>
      <c r="DS24">
        <v>1</v>
      </c>
      <c r="DT24">
        <v>1</v>
      </c>
      <c r="DU24">
        <v>2</v>
      </c>
      <c r="DV24" t="s">
        <v>355</v>
      </c>
      <c r="DW24">
        <v>3.44862</v>
      </c>
      <c r="DX24">
        <v>2.78075</v>
      </c>
      <c r="DY24">
        <v>0.09646780000000001</v>
      </c>
      <c r="DZ24">
        <v>0.09787940000000001</v>
      </c>
      <c r="EA24">
        <v>0.0924816</v>
      </c>
      <c r="EB24">
        <v>0.0865109</v>
      </c>
      <c r="EC24">
        <v>27262.8</v>
      </c>
      <c r="ED24">
        <v>30993.3</v>
      </c>
      <c r="EE24">
        <v>29304.5</v>
      </c>
      <c r="EF24">
        <v>34939.4</v>
      </c>
      <c r="EG24">
        <v>30758.9</v>
      </c>
      <c r="EH24">
        <v>39610.3</v>
      </c>
      <c r="EI24">
        <v>36080.4</v>
      </c>
      <c r="EJ24">
        <v>46237.3</v>
      </c>
      <c r="EK24">
        <v>2.44575</v>
      </c>
      <c r="EL24">
        <v>2.2732</v>
      </c>
      <c r="EM24">
        <v>0.088606</v>
      </c>
      <c r="EN24">
        <v>0</v>
      </c>
      <c r="EO24">
        <v>22.8189</v>
      </c>
      <c r="EP24">
        <v>999.9</v>
      </c>
      <c r="EQ24">
        <v>60.8</v>
      </c>
      <c r="ER24">
        <v>24.2</v>
      </c>
      <c r="ES24">
        <v>18.2052</v>
      </c>
      <c r="ET24">
        <v>62.04</v>
      </c>
      <c r="EU24">
        <v>25.6771</v>
      </c>
      <c r="EV24">
        <v>2</v>
      </c>
      <c r="EW24">
        <v>-0.347012</v>
      </c>
      <c r="EX24">
        <v>0</v>
      </c>
      <c r="EY24">
        <v>20.2958</v>
      </c>
      <c r="EZ24">
        <v>5.21205</v>
      </c>
      <c r="FA24">
        <v>11.968</v>
      </c>
      <c r="FB24">
        <v>4.9915</v>
      </c>
      <c r="FC24">
        <v>3.27198</v>
      </c>
      <c r="FD24">
        <v>3091.1</v>
      </c>
      <c r="FE24">
        <v>9999</v>
      </c>
      <c r="FF24">
        <v>9999</v>
      </c>
      <c r="FG24">
        <v>999.9</v>
      </c>
      <c r="FH24">
        <v>4.97261</v>
      </c>
      <c r="FI24">
        <v>1.86254</v>
      </c>
      <c r="FJ24">
        <v>1.86432</v>
      </c>
      <c r="FK24">
        <v>1.86274</v>
      </c>
      <c r="FL24">
        <v>1.86277</v>
      </c>
      <c r="FM24">
        <v>1.8634</v>
      </c>
      <c r="FN24">
        <v>1.85979</v>
      </c>
      <c r="FO24">
        <v>1.86264</v>
      </c>
      <c r="FP24">
        <v>0</v>
      </c>
      <c r="FQ24">
        <v>0</v>
      </c>
      <c r="FR24">
        <v>0</v>
      </c>
      <c r="FS24">
        <v>0</v>
      </c>
      <c r="FT24" t="s">
        <v>356</v>
      </c>
      <c r="FU24" t="s">
        <v>357</v>
      </c>
      <c r="FV24" t="s">
        <v>358</v>
      </c>
      <c r="FW24" t="s">
        <v>358</v>
      </c>
      <c r="FX24" t="s">
        <v>358</v>
      </c>
      <c r="FY24" t="s">
        <v>358</v>
      </c>
      <c r="FZ24">
        <v>0</v>
      </c>
      <c r="GA24">
        <v>100</v>
      </c>
      <c r="GB24">
        <v>100</v>
      </c>
      <c r="GC24">
        <v>1.425</v>
      </c>
      <c r="GD24">
        <v>0.0922</v>
      </c>
      <c r="GE24">
        <v>1.695660412043926</v>
      </c>
      <c r="GF24">
        <v>-0.001033730503750798</v>
      </c>
      <c r="GG24">
        <v>9.120241388950126E-07</v>
      </c>
      <c r="GH24">
        <v>-2.246115299815222E-10</v>
      </c>
      <c r="GI24">
        <v>-0.09658860128768293</v>
      </c>
      <c r="GJ24">
        <v>-0.01814858093373864</v>
      </c>
      <c r="GK24">
        <v>0.002091959988359369</v>
      </c>
      <c r="GL24">
        <v>-1.90871700788604E-05</v>
      </c>
      <c r="GM24">
        <v>2</v>
      </c>
      <c r="GN24">
        <v>2210</v>
      </c>
      <c r="GO24">
        <v>1</v>
      </c>
      <c r="GP24">
        <v>26</v>
      </c>
      <c r="GQ24">
        <v>1.8</v>
      </c>
      <c r="GR24">
        <v>1.8</v>
      </c>
      <c r="GS24">
        <v>1.25977</v>
      </c>
      <c r="GT24">
        <v>2.34741</v>
      </c>
      <c r="GU24">
        <v>2.34741</v>
      </c>
      <c r="GV24">
        <v>2.74536</v>
      </c>
      <c r="GW24">
        <v>2.39868</v>
      </c>
      <c r="GX24">
        <v>2.27173</v>
      </c>
      <c r="GY24">
        <v>29.3251</v>
      </c>
      <c r="GZ24">
        <v>16.0671</v>
      </c>
      <c r="HA24">
        <v>18</v>
      </c>
      <c r="HB24">
        <v>739.6369999999999</v>
      </c>
      <c r="HC24">
        <v>663.9109999999999</v>
      </c>
      <c r="HD24">
        <v>23.6323</v>
      </c>
      <c r="HE24">
        <v>22.9251</v>
      </c>
      <c r="HF24">
        <v>30.0003</v>
      </c>
      <c r="HG24">
        <v>22.7933</v>
      </c>
      <c r="HH24">
        <v>22.7489</v>
      </c>
      <c r="HI24">
        <v>25.2742</v>
      </c>
      <c r="HJ24">
        <v>22.4276</v>
      </c>
      <c r="HK24">
        <v>26.0598</v>
      </c>
      <c r="HL24">
        <v>-999.9</v>
      </c>
      <c r="HM24">
        <v>405</v>
      </c>
      <c r="HN24">
        <v>15.4258</v>
      </c>
      <c r="HO24">
        <v>100.625</v>
      </c>
      <c r="HP24">
        <v>100.971</v>
      </c>
    </row>
    <row r="25" spans="1:224">
      <c r="A25">
        <v>9</v>
      </c>
      <c r="B25">
        <v>1750958477</v>
      </c>
      <c r="C25">
        <v>1206</v>
      </c>
      <c r="D25" t="s">
        <v>381</v>
      </c>
      <c r="E25" t="s">
        <v>382</v>
      </c>
      <c r="F25">
        <v>15</v>
      </c>
      <c r="G25">
        <v>1750958469.25</v>
      </c>
      <c r="H25">
        <f>(I25)/1000</f>
        <v>0</v>
      </c>
      <c r="I25">
        <f>IF(BD25, AL25, AF25)</f>
        <v>0</v>
      </c>
      <c r="J25">
        <f>IF(BD25, AG25, AE25)</f>
        <v>0</v>
      </c>
      <c r="K25">
        <f>BF25 - IF(AS25&gt;1, J25*AZ25*100.0/(AU25), 0)</f>
        <v>0</v>
      </c>
      <c r="L25">
        <f>((R25-H25/2)*K25-J25)/(R25+H25/2)</f>
        <v>0</v>
      </c>
      <c r="M25">
        <f>L25*(BM25+BN25)/1000.0</f>
        <v>0</v>
      </c>
      <c r="N25">
        <f>(BF25 - IF(AS25&gt;1, J25*AZ25*100.0/(AU25), 0))*(BM25+BN25)/1000.0</f>
        <v>0</v>
      </c>
      <c r="O25">
        <f>2.0/((1/Q25-1/P25)+SIGN(Q25)*SQRT((1/Q25-1/P25)*(1/Q25-1/P25) + 4*BA25/((BA25+1)*(BA25+1))*(2*1/Q25*1/P25-1/P25*1/P25)))</f>
        <v>0</v>
      </c>
      <c r="P25">
        <f>IF(LEFT(BB25,1)&lt;&gt;"0",IF(LEFT(BB25,1)="1",3.0,BC25),$D$5+$E$5*(BT25*BM25/($K$5*1000))+$F$5*(BT25*BM25/($K$5*1000))*MAX(MIN(AZ25,$J$5),$I$5)*MAX(MIN(AZ25,$J$5),$I$5)+$G$5*MAX(MIN(AZ25,$J$5),$I$5)*(BT25*BM25/($K$5*1000))+$H$5*(BT25*BM25/($K$5*1000))*(BT25*BM25/($K$5*1000)))</f>
        <v>0</v>
      </c>
      <c r="Q25">
        <f>H25*(1000-(1000*0.61365*exp(17.502*U25/(240.97+U25))/(BM25+BN25)+BH25)/2)/(1000*0.61365*exp(17.502*U25/(240.97+U25))/(BM25+BN25)-BH25)</f>
        <v>0</v>
      </c>
      <c r="R25">
        <f>1/((BA25+1)/(O25/1.6)+1/(P25/1.37)) + BA25/((BA25+1)/(O25/1.6) + BA25/(P25/1.37))</f>
        <v>0</v>
      </c>
      <c r="S25">
        <f>(AV25*AY25)</f>
        <v>0</v>
      </c>
      <c r="T25">
        <f>(BO25+(S25+2*0.95*5.67E-8*(((BO25+$B$7)+273)^4-(BO25+273)^4)-44100*H25)/(1.84*29.3*P25+8*0.95*5.67E-8*(BO25+273)^3))</f>
        <v>0</v>
      </c>
      <c r="U25">
        <f>($C$7*BP25+$D$7*BQ25+$E$7*T25)</f>
        <v>0</v>
      </c>
      <c r="V25">
        <f>0.61365*exp(17.502*U25/(240.97+U25))</f>
        <v>0</v>
      </c>
      <c r="W25">
        <f>(X25/Y25*100)</f>
        <v>0</v>
      </c>
      <c r="X25">
        <f>BH25*(BM25+BN25)/1000</f>
        <v>0</v>
      </c>
      <c r="Y25">
        <f>0.61365*exp(17.502*BO25/(240.97+BO25))</f>
        <v>0</v>
      </c>
      <c r="Z25">
        <f>(V25-BH25*(BM25+BN25)/1000)</f>
        <v>0</v>
      </c>
      <c r="AA25">
        <f>(-H25*44100)</f>
        <v>0</v>
      </c>
      <c r="AB25">
        <f>2*29.3*P25*0.92*(BO25-U25)</f>
        <v>0</v>
      </c>
      <c r="AC25">
        <f>2*0.95*5.67E-8*(((BO25+$B$7)+273)^4-(U25+273)^4)</f>
        <v>0</v>
      </c>
      <c r="AD25">
        <f>S25+AC25+AA25+AB25</f>
        <v>0</v>
      </c>
      <c r="AE25">
        <f>BL25*AS25*(BG25-BF25*(1000-AS25*BI25)/(1000-AS25*BH25))/(100*AZ25)</f>
        <v>0</v>
      </c>
      <c r="AF25">
        <f>1000*BL25*AS25*(BH25-BI25)/(100*AZ25*(1000-AS25*BH25))</f>
        <v>0</v>
      </c>
      <c r="AG25">
        <f>(AH25 - AI25 - BM25*1E3/(8.314*(BO25+273.15)) * AK25/BL25 * AJ25) * BL25/(100*AZ25) * (1000 - BI25)/1000</f>
        <v>0</v>
      </c>
      <c r="AH25">
        <v>411.7454361299246</v>
      </c>
      <c r="AI25">
        <v>409.9295575757574</v>
      </c>
      <c r="AJ25">
        <v>-0.0004280830788641795</v>
      </c>
      <c r="AK25">
        <v>66.95791213006693</v>
      </c>
      <c r="AL25">
        <f>(AN25 - AM25 + BM25*1E3/(8.314*(BO25+273.15)) * AP25/BL25 * AO25) * BL25/(100*AZ25) * 1000/(1000 - AN25)</f>
        <v>0</v>
      </c>
      <c r="AM25">
        <v>16.47429823422313</v>
      </c>
      <c r="AN25">
        <v>16.96856</v>
      </c>
      <c r="AO25">
        <v>0.001072117752728912</v>
      </c>
      <c r="AP25">
        <v>79.21858362739101</v>
      </c>
      <c r="AQ25">
        <v>188</v>
      </c>
      <c r="AR25">
        <v>24</v>
      </c>
      <c r="AS25">
        <f>IF(AQ25*$H$13&gt;=AU25,1.0,(AU25/(AU25-AQ25*$H$13)))</f>
        <v>0</v>
      </c>
      <c r="AT25">
        <f>(AS25-1)*100</f>
        <v>0</v>
      </c>
      <c r="AU25">
        <f>MAX(0,($B$13+$C$13*BT25)/(1+$D$13*BT25)*BM25/(BO25+273)*$E$13)</f>
        <v>0</v>
      </c>
      <c r="AV25">
        <f>$B$11*BU25+$C$11*BV25+$F$11*CG25*(1-CJ25)</f>
        <v>0</v>
      </c>
      <c r="AW25">
        <f>AV25*AX25</f>
        <v>0</v>
      </c>
      <c r="AX25">
        <f>($B$11*$D$9+$C$11*$D$9+$F$11*((CT25+CL25)/MAX(CT25+CL25+CU25, 0.1)*$I$9+CU25/MAX(CT25+CL25+CU25, 0.1)*$J$9))/($B$11+$C$11+$F$11)</f>
        <v>0</v>
      </c>
      <c r="AY25">
        <f>($B$11*$K$9+$C$11*$K$9+$F$11*((CT25+CL25)/MAX(CT25+CL25+CU25, 0.1)*$P$9+CU25/MAX(CT25+CL25+CU25, 0.1)*$Q$9))/($B$11+$C$11+$F$11)</f>
        <v>0</v>
      </c>
      <c r="AZ25">
        <v>6</v>
      </c>
      <c r="BA25">
        <v>0.5</v>
      </c>
      <c r="BB25" t="s">
        <v>353</v>
      </c>
      <c r="BC25">
        <v>2</v>
      </c>
      <c r="BD25" t="b">
        <v>0</v>
      </c>
      <c r="BE25">
        <v>1750958469.25</v>
      </c>
      <c r="BF25">
        <v>402.9888333333334</v>
      </c>
      <c r="BG25">
        <v>404.9889666666668</v>
      </c>
      <c r="BH25">
        <v>16.91965666666667</v>
      </c>
      <c r="BI25">
        <v>16.46126333333333</v>
      </c>
      <c r="BJ25">
        <v>401.5868333333334</v>
      </c>
      <c r="BK25">
        <v>16.83565666666667</v>
      </c>
      <c r="BL25">
        <v>800.0026333333332</v>
      </c>
      <c r="BM25">
        <v>101.2334333333334</v>
      </c>
      <c r="BN25">
        <v>0.1000570733333333</v>
      </c>
      <c r="BO25">
        <v>24.76309666666667</v>
      </c>
      <c r="BP25">
        <v>24.13467333333334</v>
      </c>
      <c r="BQ25">
        <v>999.9000000000002</v>
      </c>
      <c r="BR25">
        <v>0</v>
      </c>
      <c r="BS25">
        <v>0</v>
      </c>
      <c r="BT25">
        <v>10009.31933333333</v>
      </c>
      <c r="BU25">
        <v>0</v>
      </c>
      <c r="BV25">
        <v>0.00152894</v>
      </c>
      <c r="BW25">
        <v>-1.976728333333333</v>
      </c>
      <c r="BX25">
        <v>409.955</v>
      </c>
      <c r="BY25">
        <v>411.7671666666667</v>
      </c>
      <c r="BZ25">
        <v>0.4741305</v>
      </c>
      <c r="CA25">
        <v>404.9889666666668</v>
      </c>
      <c r="CB25">
        <v>16.46126333333333</v>
      </c>
      <c r="CC25">
        <v>1.714427666666667</v>
      </c>
      <c r="CD25">
        <v>1.666430333333333</v>
      </c>
      <c r="CE25">
        <v>15.02767</v>
      </c>
      <c r="CF25">
        <v>14.58720666666667</v>
      </c>
      <c r="CG25">
        <v>999.9876666666665</v>
      </c>
      <c r="CH25">
        <v>0.9599859000000005</v>
      </c>
      <c r="CI25">
        <v>0.04001419666666665</v>
      </c>
      <c r="CJ25">
        <v>0</v>
      </c>
      <c r="CK25">
        <v>1.346833333333334</v>
      </c>
      <c r="CL25">
        <v>0</v>
      </c>
      <c r="CM25">
        <v>5307.814333333333</v>
      </c>
      <c r="CN25">
        <v>7946.763666666667</v>
      </c>
      <c r="CO25">
        <v>37.55399999999999</v>
      </c>
      <c r="CP25">
        <v>41.43313333333333</v>
      </c>
      <c r="CQ25">
        <v>39.01226666666665</v>
      </c>
      <c r="CR25">
        <v>40.81646666666666</v>
      </c>
      <c r="CS25">
        <v>37.81646666666666</v>
      </c>
      <c r="CT25">
        <v>959.9746666666666</v>
      </c>
      <c r="CU25">
        <v>40.01133333333333</v>
      </c>
      <c r="CV25">
        <v>0</v>
      </c>
      <c r="CW25">
        <v>1750958494.1</v>
      </c>
      <c r="CX25">
        <v>0</v>
      </c>
      <c r="CY25">
        <v>1750958494.5</v>
      </c>
      <c r="CZ25" t="s">
        <v>383</v>
      </c>
      <c r="DA25">
        <v>1750958493</v>
      </c>
      <c r="DB25">
        <v>1750958494.5</v>
      </c>
      <c r="DC25">
        <v>9</v>
      </c>
      <c r="DD25">
        <v>-0.023</v>
      </c>
      <c r="DE25">
        <v>-0</v>
      </c>
      <c r="DF25">
        <v>1.402</v>
      </c>
      <c r="DG25">
        <v>0.08400000000000001</v>
      </c>
      <c r="DH25">
        <v>405</v>
      </c>
      <c r="DI25">
        <v>17</v>
      </c>
      <c r="DJ25">
        <v>0.3</v>
      </c>
      <c r="DK25">
        <v>0.15</v>
      </c>
      <c r="DL25">
        <v>-1.968066097560976</v>
      </c>
      <c r="DM25">
        <v>-0.06271630662021078</v>
      </c>
      <c r="DN25">
        <v>0.02552302001379594</v>
      </c>
      <c r="DO25">
        <v>1</v>
      </c>
      <c r="DP25">
        <v>0.4554508780487805</v>
      </c>
      <c r="DQ25">
        <v>0.2853542717770035</v>
      </c>
      <c r="DR25">
        <v>0.02975709638027756</v>
      </c>
      <c r="DS25">
        <v>0</v>
      </c>
      <c r="DT25">
        <v>1</v>
      </c>
      <c r="DU25">
        <v>2</v>
      </c>
      <c r="DV25" t="s">
        <v>355</v>
      </c>
      <c r="DW25">
        <v>3.44919</v>
      </c>
      <c r="DX25">
        <v>2.78051</v>
      </c>
      <c r="DY25">
        <v>0.0972787</v>
      </c>
      <c r="DZ25">
        <v>0.097856</v>
      </c>
      <c r="EA25">
        <v>0.0934373</v>
      </c>
      <c r="EB25">
        <v>0.09100129999999999</v>
      </c>
      <c r="EC25">
        <v>27234.8</v>
      </c>
      <c r="ED25">
        <v>30989.9</v>
      </c>
      <c r="EE25">
        <v>29301</v>
      </c>
      <c r="EF25">
        <v>34935.1</v>
      </c>
      <c r="EG25">
        <v>30722.7</v>
      </c>
      <c r="EH25">
        <v>39410.7</v>
      </c>
      <c r="EI25">
        <v>36076.3</v>
      </c>
      <c r="EJ25">
        <v>46231.9</v>
      </c>
      <c r="EK25">
        <v>2.2356</v>
      </c>
      <c r="EL25">
        <v>2.272</v>
      </c>
      <c r="EM25">
        <v>0.06992370000000001</v>
      </c>
      <c r="EN25">
        <v>0</v>
      </c>
      <c r="EO25">
        <v>23.0358</v>
      </c>
      <c r="EP25">
        <v>999.9</v>
      </c>
      <c r="EQ25">
        <v>60.7</v>
      </c>
      <c r="ER25">
        <v>24.4</v>
      </c>
      <c r="ES25">
        <v>18.3959</v>
      </c>
      <c r="ET25">
        <v>61.95</v>
      </c>
      <c r="EU25">
        <v>25.6851</v>
      </c>
      <c r="EV25">
        <v>2</v>
      </c>
      <c r="EW25">
        <v>-0.339192</v>
      </c>
      <c r="EX25">
        <v>0</v>
      </c>
      <c r="EY25">
        <v>20.2958</v>
      </c>
      <c r="EZ25">
        <v>5.21355</v>
      </c>
      <c r="FA25">
        <v>11.968</v>
      </c>
      <c r="FB25">
        <v>4.9918</v>
      </c>
      <c r="FC25">
        <v>3.272</v>
      </c>
      <c r="FD25">
        <v>3095.4</v>
      </c>
      <c r="FE25">
        <v>9999</v>
      </c>
      <c r="FF25">
        <v>9999</v>
      </c>
      <c r="FG25">
        <v>999.9</v>
      </c>
      <c r="FH25">
        <v>4.97263</v>
      </c>
      <c r="FI25">
        <v>1.86252</v>
      </c>
      <c r="FJ25">
        <v>1.86432</v>
      </c>
      <c r="FK25">
        <v>1.86278</v>
      </c>
      <c r="FL25">
        <v>1.86279</v>
      </c>
      <c r="FM25">
        <v>1.8634</v>
      </c>
      <c r="FN25">
        <v>1.85984</v>
      </c>
      <c r="FO25">
        <v>1.86264</v>
      </c>
      <c r="FP25">
        <v>0</v>
      </c>
      <c r="FQ25">
        <v>0</v>
      </c>
      <c r="FR25">
        <v>0</v>
      </c>
      <c r="FS25">
        <v>0</v>
      </c>
      <c r="FT25" t="s">
        <v>356</v>
      </c>
      <c r="FU25" t="s">
        <v>357</v>
      </c>
      <c r="FV25" t="s">
        <v>358</v>
      </c>
      <c r="FW25" t="s">
        <v>358</v>
      </c>
      <c r="FX25" t="s">
        <v>358</v>
      </c>
      <c r="FY25" t="s">
        <v>358</v>
      </c>
      <c r="FZ25">
        <v>0</v>
      </c>
      <c r="GA25">
        <v>100</v>
      </c>
      <c r="GB25">
        <v>100</v>
      </c>
      <c r="GC25">
        <v>1.402</v>
      </c>
      <c r="GD25">
        <v>0.08400000000000001</v>
      </c>
      <c r="GE25">
        <v>1.707954811112619</v>
      </c>
      <c r="GF25">
        <v>-0.001033730503750798</v>
      </c>
      <c r="GG25">
        <v>9.120241388950126E-07</v>
      </c>
      <c r="GH25">
        <v>-2.246115299815222E-10</v>
      </c>
      <c r="GI25">
        <v>-0.09658860128768293</v>
      </c>
      <c r="GJ25">
        <v>-0.01814858093373864</v>
      </c>
      <c r="GK25">
        <v>0.002091959988359369</v>
      </c>
      <c r="GL25">
        <v>-1.90871700788604E-05</v>
      </c>
      <c r="GM25">
        <v>2</v>
      </c>
      <c r="GN25">
        <v>2210</v>
      </c>
      <c r="GO25">
        <v>1</v>
      </c>
      <c r="GP25">
        <v>26</v>
      </c>
      <c r="GQ25">
        <v>2</v>
      </c>
      <c r="GR25">
        <v>4.1</v>
      </c>
      <c r="GS25">
        <v>1.26221</v>
      </c>
      <c r="GT25">
        <v>2.34863</v>
      </c>
      <c r="GU25">
        <v>2.34741</v>
      </c>
      <c r="GV25">
        <v>2.7417</v>
      </c>
      <c r="GW25">
        <v>2.39868</v>
      </c>
      <c r="GX25">
        <v>2.28271</v>
      </c>
      <c r="GY25">
        <v>29.4952</v>
      </c>
      <c r="GZ25">
        <v>16.0583</v>
      </c>
      <c r="HA25">
        <v>18</v>
      </c>
      <c r="HB25">
        <v>588.029</v>
      </c>
      <c r="HC25">
        <v>664.35</v>
      </c>
      <c r="HD25">
        <v>23.8214</v>
      </c>
      <c r="HE25">
        <v>23.0343</v>
      </c>
      <c r="HF25">
        <v>30.0005</v>
      </c>
      <c r="HG25">
        <v>22.9062</v>
      </c>
      <c r="HH25">
        <v>22.8589</v>
      </c>
      <c r="HI25">
        <v>25.3112</v>
      </c>
      <c r="HJ25">
        <v>17.47</v>
      </c>
      <c r="HK25">
        <v>29.2478</v>
      </c>
      <c r="HL25">
        <v>-999.9</v>
      </c>
      <c r="HM25">
        <v>405</v>
      </c>
      <c r="HN25">
        <v>16.4392</v>
      </c>
      <c r="HO25">
        <v>100.614</v>
      </c>
      <c r="HP25">
        <v>100.959</v>
      </c>
    </row>
    <row r="26" spans="1:224">
      <c r="A26">
        <v>10</v>
      </c>
      <c r="B26">
        <v>1750958595.5</v>
      </c>
      <c r="C26">
        <v>1324.5</v>
      </c>
      <c r="D26" t="s">
        <v>384</v>
      </c>
      <c r="E26" t="s">
        <v>385</v>
      </c>
      <c r="F26">
        <v>15</v>
      </c>
      <c r="G26">
        <v>1750958587.5</v>
      </c>
      <c r="H26">
        <f>(I26)/1000</f>
        <v>0</v>
      </c>
      <c r="I26">
        <f>IF(BD26, AL26, AF26)</f>
        <v>0</v>
      </c>
      <c r="J26">
        <f>IF(BD26, AG26, AE26)</f>
        <v>0</v>
      </c>
      <c r="K26">
        <f>BF26 - IF(AS26&gt;1, J26*AZ26*100.0/(AU26), 0)</f>
        <v>0</v>
      </c>
      <c r="L26">
        <f>((R26-H26/2)*K26-J26)/(R26+H26/2)</f>
        <v>0</v>
      </c>
      <c r="M26">
        <f>L26*(BM26+BN26)/1000.0</f>
        <v>0</v>
      </c>
      <c r="N26">
        <f>(BF26 - IF(AS26&gt;1, J26*AZ26*100.0/(AU26), 0))*(BM26+BN26)/1000.0</f>
        <v>0</v>
      </c>
      <c r="O26">
        <f>2.0/((1/Q26-1/P26)+SIGN(Q26)*SQRT((1/Q26-1/P26)*(1/Q26-1/P26) + 4*BA26/((BA26+1)*(BA26+1))*(2*1/Q26*1/P26-1/P26*1/P26)))</f>
        <v>0</v>
      </c>
      <c r="P26">
        <f>IF(LEFT(BB26,1)&lt;&gt;"0",IF(LEFT(BB26,1)="1",3.0,BC26),$D$5+$E$5*(BT26*BM26/($K$5*1000))+$F$5*(BT26*BM26/($K$5*1000))*MAX(MIN(AZ26,$J$5),$I$5)*MAX(MIN(AZ26,$J$5),$I$5)+$G$5*MAX(MIN(AZ26,$J$5),$I$5)*(BT26*BM26/($K$5*1000))+$H$5*(BT26*BM26/($K$5*1000))*(BT26*BM26/($K$5*1000)))</f>
        <v>0</v>
      </c>
      <c r="Q26">
        <f>H26*(1000-(1000*0.61365*exp(17.502*U26/(240.97+U26))/(BM26+BN26)+BH26)/2)/(1000*0.61365*exp(17.502*U26/(240.97+U26))/(BM26+BN26)-BH26)</f>
        <v>0</v>
      </c>
      <c r="R26">
        <f>1/((BA26+1)/(O26/1.6)+1/(P26/1.37)) + BA26/((BA26+1)/(O26/1.6) + BA26/(P26/1.37))</f>
        <v>0</v>
      </c>
      <c r="S26">
        <f>(AV26*AY26)</f>
        <v>0</v>
      </c>
      <c r="T26">
        <f>(BO26+(S26+2*0.95*5.67E-8*(((BO26+$B$7)+273)^4-(BO26+273)^4)-44100*H26)/(1.84*29.3*P26+8*0.95*5.67E-8*(BO26+273)^3))</f>
        <v>0</v>
      </c>
      <c r="U26">
        <f>($C$7*BP26+$D$7*BQ26+$E$7*T26)</f>
        <v>0</v>
      </c>
      <c r="V26">
        <f>0.61365*exp(17.502*U26/(240.97+U26))</f>
        <v>0</v>
      </c>
      <c r="W26">
        <f>(X26/Y26*100)</f>
        <v>0</v>
      </c>
      <c r="X26">
        <f>BH26*(BM26+BN26)/1000</f>
        <v>0</v>
      </c>
      <c r="Y26">
        <f>0.61365*exp(17.502*BO26/(240.97+BO26))</f>
        <v>0</v>
      </c>
      <c r="Z26">
        <f>(V26-BH26*(BM26+BN26)/1000)</f>
        <v>0</v>
      </c>
      <c r="AA26">
        <f>(-H26*44100)</f>
        <v>0</v>
      </c>
      <c r="AB26">
        <f>2*29.3*P26*0.92*(BO26-U26)</f>
        <v>0</v>
      </c>
      <c r="AC26">
        <f>2*0.95*5.67E-8*(((BO26+$B$7)+273)^4-(U26+273)^4)</f>
        <v>0</v>
      </c>
      <c r="AD26">
        <f>S26+AC26+AA26+AB26</f>
        <v>0</v>
      </c>
      <c r="AE26">
        <f>BL26*AS26*(BG26-BF26*(1000-AS26*BI26)/(1000-AS26*BH26))/(100*AZ26)</f>
        <v>0</v>
      </c>
      <c r="AF26">
        <f>1000*BL26*AS26*(BH26-BI26)/(100*AZ26*(1000-AS26*BH26))</f>
        <v>0</v>
      </c>
      <c r="AG26">
        <f>(AH26 - AI26 - BM26*1E3/(8.314*(BO26+273.15)) * AK26/BL26 * AJ26) * BL26/(100*AZ26) * (1000 - BI26)/1000</f>
        <v>0</v>
      </c>
      <c r="AH26">
        <v>412.0001631327527</v>
      </c>
      <c r="AI26">
        <v>410.5936606060606</v>
      </c>
      <c r="AJ26">
        <v>6.037417623460367E-05</v>
      </c>
      <c r="AK26">
        <v>66.95671703559822</v>
      </c>
      <c r="AL26">
        <f>(AN26 - AM26 + BM26*1E3/(8.314*(BO26+273.15)) * AP26/BL26 * AO26) * BL26/(100*AZ26) * 1000/(1000 - AN26)</f>
        <v>0</v>
      </c>
      <c r="AM26">
        <v>16.95026852847263</v>
      </c>
      <c r="AN26">
        <v>17.15342545454545</v>
      </c>
      <c r="AO26">
        <v>0.0009336424706501322</v>
      </c>
      <c r="AP26">
        <v>79.23829254576484</v>
      </c>
      <c r="AQ26">
        <v>0</v>
      </c>
      <c r="AR26">
        <v>0</v>
      </c>
      <c r="AS26">
        <f>IF(AQ26*$H$13&gt;=AU26,1.0,(AU26/(AU26-AQ26*$H$13)))</f>
        <v>0</v>
      </c>
      <c r="AT26">
        <f>(AS26-1)*100</f>
        <v>0</v>
      </c>
      <c r="AU26">
        <f>MAX(0,($B$13+$C$13*BT26)/(1+$D$13*BT26)*BM26/(BO26+273)*$E$13)</f>
        <v>0</v>
      </c>
      <c r="AV26">
        <f>$B$11*BU26+$C$11*BV26+$F$11*CG26*(1-CJ26)</f>
        <v>0</v>
      </c>
      <c r="AW26">
        <f>AV26*AX26</f>
        <v>0</v>
      </c>
      <c r="AX26">
        <f>($B$11*$D$9+$C$11*$D$9+$F$11*((CT26+CL26)/MAX(CT26+CL26+CU26, 0.1)*$I$9+CU26/MAX(CT26+CL26+CU26, 0.1)*$J$9))/($B$11+$C$11+$F$11)</f>
        <v>0</v>
      </c>
      <c r="AY26">
        <f>($B$11*$K$9+$C$11*$K$9+$F$11*((CT26+CL26)/MAX(CT26+CL26+CU26, 0.1)*$P$9+CU26/MAX(CT26+CL26+CU26, 0.1)*$Q$9))/($B$11+$C$11+$F$11)</f>
        <v>0</v>
      </c>
      <c r="AZ26">
        <v>6</v>
      </c>
      <c r="BA26">
        <v>0.5</v>
      </c>
      <c r="BB26" t="s">
        <v>353</v>
      </c>
      <c r="BC26">
        <v>2</v>
      </c>
      <c r="BD26" t="b">
        <v>0</v>
      </c>
      <c r="BE26">
        <v>1750958587.5</v>
      </c>
      <c r="BF26">
        <v>403.5269677419354</v>
      </c>
      <c r="BG26">
        <v>404.9834193548389</v>
      </c>
      <c r="BH26">
        <v>17.11329677419355</v>
      </c>
      <c r="BI26">
        <v>16.93636451612904</v>
      </c>
      <c r="BJ26">
        <v>402.1399677419354</v>
      </c>
      <c r="BK26">
        <v>17.01329677419355</v>
      </c>
      <c r="BL26">
        <v>800.0037741935485</v>
      </c>
      <c r="BM26">
        <v>101.2278064516129</v>
      </c>
      <c r="BN26">
        <v>0.099776</v>
      </c>
      <c r="BO26">
        <v>24.91427741935483</v>
      </c>
      <c r="BP26">
        <v>24.85730967741935</v>
      </c>
      <c r="BQ26">
        <v>999.9000000000003</v>
      </c>
      <c r="BR26">
        <v>0</v>
      </c>
      <c r="BS26">
        <v>0</v>
      </c>
      <c r="BT26">
        <v>9999.359032258064</v>
      </c>
      <c r="BU26">
        <v>0</v>
      </c>
      <c r="BV26">
        <v>0.00152894</v>
      </c>
      <c r="BW26">
        <v>-1.440697741935484</v>
      </c>
      <c r="BX26">
        <v>410.5713870967742</v>
      </c>
      <c r="BY26">
        <v>411.9605161290323</v>
      </c>
      <c r="BZ26">
        <v>0.1827190645161291</v>
      </c>
      <c r="CA26">
        <v>404.9834193548389</v>
      </c>
      <c r="CB26">
        <v>16.93636451612904</v>
      </c>
      <c r="CC26">
        <v>1.732927741935484</v>
      </c>
      <c r="CD26">
        <v>1.71443</v>
      </c>
      <c r="CE26">
        <v>15.19455161290323</v>
      </c>
      <c r="CF26">
        <v>15.02770645161291</v>
      </c>
      <c r="CG26">
        <v>1000.003</v>
      </c>
      <c r="CH26">
        <v>0.9599939999999998</v>
      </c>
      <c r="CI26">
        <v>0.04000627419354838</v>
      </c>
      <c r="CJ26">
        <v>0</v>
      </c>
      <c r="CK26">
        <v>1.185645161290323</v>
      </c>
      <c r="CL26">
        <v>0</v>
      </c>
      <c r="CM26">
        <v>4710.182903225807</v>
      </c>
      <c r="CN26">
        <v>7946.912258064515</v>
      </c>
      <c r="CO26">
        <v>37.08241935483871</v>
      </c>
      <c r="CP26">
        <v>39.83841935483869</v>
      </c>
      <c r="CQ26">
        <v>38.4312258064516</v>
      </c>
      <c r="CR26">
        <v>39.30819354838709</v>
      </c>
      <c r="CS26">
        <v>37.29609677419354</v>
      </c>
      <c r="CT26">
        <v>959.9951612903228</v>
      </c>
      <c r="CU26">
        <v>40.00870967741935</v>
      </c>
      <c r="CV26">
        <v>0</v>
      </c>
      <c r="CW26">
        <v>1750958612.9</v>
      </c>
      <c r="CX26">
        <v>0</v>
      </c>
      <c r="CY26">
        <v>1750958612.5</v>
      </c>
      <c r="CZ26" t="s">
        <v>386</v>
      </c>
      <c r="DA26">
        <v>1750958612.5</v>
      </c>
      <c r="DB26">
        <v>1750958612.5</v>
      </c>
      <c r="DC26">
        <v>10</v>
      </c>
      <c r="DD26">
        <v>-0.015</v>
      </c>
      <c r="DE26">
        <v>0.001</v>
      </c>
      <c r="DF26">
        <v>1.387</v>
      </c>
      <c r="DG26">
        <v>0.1</v>
      </c>
      <c r="DH26">
        <v>405</v>
      </c>
      <c r="DI26">
        <v>17</v>
      </c>
      <c r="DJ26">
        <v>0.39</v>
      </c>
      <c r="DK26">
        <v>0.13</v>
      </c>
      <c r="DL26">
        <v>-1.424838292682927</v>
      </c>
      <c r="DM26">
        <v>-0.2884068292682899</v>
      </c>
      <c r="DN26">
        <v>0.03697937869008321</v>
      </c>
      <c r="DO26">
        <v>0</v>
      </c>
      <c r="DP26">
        <v>0.1686249024390244</v>
      </c>
      <c r="DQ26">
        <v>0.2498481533101048</v>
      </c>
      <c r="DR26">
        <v>0.02581436842743891</v>
      </c>
      <c r="DS26">
        <v>0</v>
      </c>
      <c r="DT26">
        <v>0</v>
      </c>
      <c r="DU26">
        <v>2</v>
      </c>
      <c r="DV26" t="s">
        <v>362</v>
      </c>
      <c r="DW26">
        <v>3.44935</v>
      </c>
      <c r="DX26">
        <v>2.78048</v>
      </c>
      <c r="DY26">
        <v>0.0973627</v>
      </c>
      <c r="DZ26">
        <v>0.0978311</v>
      </c>
      <c r="EA26">
        <v>0.0941364</v>
      </c>
      <c r="EB26">
        <v>0.0928503</v>
      </c>
      <c r="EC26">
        <v>27227.7</v>
      </c>
      <c r="ED26">
        <v>30985.9</v>
      </c>
      <c r="EE26">
        <v>29296.5</v>
      </c>
      <c r="EF26">
        <v>34930.2</v>
      </c>
      <c r="EG26">
        <v>30694.6</v>
      </c>
      <c r="EH26">
        <v>39325.3</v>
      </c>
      <c r="EI26">
        <v>36071.3</v>
      </c>
      <c r="EJ26">
        <v>46225.7</v>
      </c>
      <c r="EK26">
        <v>2.5346</v>
      </c>
      <c r="EL26">
        <v>2.27005</v>
      </c>
      <c r="EM26">
        <v>0.102054</v>
      </c>
      <c r="EN26">
        <v>0</v>
      </c>
      <c r="EO26">
        <v>23.2054</v>
      </c>
      <c r="EP26">
        <v>999.9</v>
      </c>
      <c r="EQ26">
        <v>60.9</v>
      </c>
      <c r="ER26">
        <v>24.5</v>
      </c>
      <c r="ES26">
        <v>18.5677</v>
      </c>
      <c r="ET26">
        <v>61.9101</v>
      </c>
      <c r="EU26">
        <v>25.605</v>
      </c>
      <c r="EV26">
        <v>2</v>
      </c>
      <c r="EW26">
        <v>-0.331387</v>
      </c>
      <c r="EX26">
        <v>0</v>
      </c>
      <c r="EY26">
        <v>20.2937</v>
      </c>
      <c r="EZ26">
        <v>5.21025</v>
      </c>
      <c r="FA26">
        <v>11.968</v>
      </c>
      <c r="FB26">
        <v>4.991</v>
      </c>
      <c r="FC26">
        <v>3.27163</v>
      </c>
      <c r="FD26">
        <v>3098.9</v>
      </c>
      <c r="FE26">
        <v>9999</v>
      </c>
      <c r="FF26">
        <v>9999</v>
      </c>
      <c r="FG26">
        <v>999.9</v>
      </c>
      <c r="FH26">
        <v>4.97262</v>
      </c>
      <c r="FI26">
        <v>1.86262</v>
      </c>
      <c r="FJ26">
        <v>1.86432</v>
      </c>
      <c r="FK26">
        <v>1.86279</v>
      </c>
      <c r="FL26">
        <v>1.86278</v>
      </c>
      <c r="FM26">
        <v>1.8634</v>
      </c>
      <c r="FN26">
        <v>1.85987</v>
      </c>
      <c r="FO26">
        <v>1.86264</v>
      </c>
      <c r="FP26">
        <v>0</v>
      </c>
      <c r="FQ26">
        <v>0</v>
      </c>
      <c r="FR26">
        <v>0</v>
      </c>
      <c r="FS26">
        <v>0</v>
      </c>
      <c r="FT26" t="s">
        <v>356</v>
      </c>
      <c r="FU26" t="s">
        <v>357</v>
      </c>
      <c r="FV26" t="s">
        <v>358</v>
      </c>
      <c r="FW26" t="s">
        <v>358</v>
      </c>
      <c r="FX26" t="s">
        <v>358</v>
      </c>
      <c r="FY26" t="s">
        <v>358</v>
      </c>
      <c r="FZ26">
        <v>0</v>
      </c>
      <c r="GA26">
        <v>100</v>
      </c>
      <c r="GB26">
        <v>100</v>
      </c>
      <c r="GC26">
        <v>1.387</v>
      </c>
      <c r="GD26">
        <v>0.1</v>
      </c>
      <c r="GE26">
        <v>1.685585725234446</v>
      </c>
      <c r="GF26">
        <v>-0.001033730503750798</v>
      </c>
      <c r="GG26">
        <v>9.120241388950126E-07</v>
      </c>
      <c r="GH26">
        <v>-2.246115299815222E-10</v>
      </c>
      <c r="GI26">
        <v>-0.09698347359584047</v>
      </c>
      <c r="GJ26">
        <v>-0.01814858093373864</v>
      </c>
      <c r="GK26">
        <v>0.002091959988359369</v>
      </c>
      <c r="GL26">
        <v>-1.90871700788604E-05</v>
      </c>
      <c r="GM26">
        <v>2</v>
      </c>
      <c r="GN26">
        <v>2210</v>
      </c>
      <c r="GO26">
        <v>1</v>
      </c>
      <c r="GP26">
        <v>26</v>
      </c>
      <c r="GQ26">
        <v>1.7</v>
      </c>
      <c r="GR26">
        <v>1.7</v>
      </c>
      <c r="GS26">
        <v>1.26221</v>
      </c>
      <c r="GT26">
        <v>2.35229</v>
      </c>
      <c r="GU26">
        <v>2.34741</v>
      </c>
      <c r="GV26">
        <v>2.73926</v>
      </c>
      <c r="GW26">
        <v>2.39868</v>
      </c>
      <c r="GX26">
        <v>2.2522</v>
      </c>
      <c r="GY26">
        <v>29.6657</v>
      </c>
      <c r="GZ26">
        <v>16.0496</v>
      </c>
      <c r="HA26">
        <v>18</v>
      </c>
      <c r="HB26">
        <v>816.6130000000001</v>
      </c>
      <c r="HC26">
        <v>664.087</v>
      </c>
      <c r="HD26">
        <v>23.9886</v>
      </c>
      <c r="HE26">
        <v>23.1522</v>
      </c>
      <c r="HF26">
        <v>30.0003</v>
      </c>
      <c r="HG26">
        <v>23.0048</v>
      </c>
      <c r="HH26">
        <v>22.9622</v>
      </c>
      <c r="HI26">
        <v>25.3251</v>
      </c>
      <c r="HJ26">
        <v>16.6435</v>
      </c>
      <c r="HK26">
        <v>35.2345</v>
      </c>
      <c r="HL26">
        <v>-999.9</v>
      </c>
      <c r="HM26">
        <v>405</v>
      </c>
      <c r="HN26">
        <v>16.8773</v>
      </c>
      <c r="HO26">
        <v>100.599</v>
      </c>
      <c r="HP26">
        <v>100.945</v>
      </c>
    </row>
    <row r="27" spans="1:224">
      <c r="A27">
        <v>11</v>
      </c>
      <c r="B27">
        <v>1750958790.5</v>
      </c>
      <c r="C27">
        <v>1519.5</v>
      </c>
      <c r="D27" t="s">
        <v>387</v>
      </c>
      <c r="E27" t="s">
        <v>388</v>
      </c>
      <c r="F27">
        <v>15</v>
      </c>
      <c r="G27">
        <v>1750958782.5</v>
      </c>
      <c r="H27">
        <f>(I27)/1000</f>
        <v>0</v>
      </c>
      <c r="I27">
        <f>IF(BD27, AL27, AF27)</f>
        <v>0</v>
      </c>
      <c r="J27">
        <f>IF(BD27, AG27, AE27)</f>
        <v>0</v>
      </c>
      <c r="K27">
        <f>BF27 - IF(AS27&gt;1, J27*AZ27*100.0/(AU27), 0)</f>
        <v>0</v>
      </c>
      <c r="L27">
        <f>((R27-H27/2)*K27-J27)/(R27+H27/2)</f>
        <v>0</v>
      </c>
      <c r="M27">
        <f>L27*(BM27+BN27)/1000.0</f>
        <v>0</v>
      </c>
      <c r="N27">
        <f>(BF27 - IF(AS27&gt;1, J27*AZ27*100.0/(AU27), 0))*(BM27+BN27)/1000.0</f>
        <v>0</v>
      </c>
      <c r="O27">
        <f>2.0/((1/Q27-1/P27)+SIGN(Q27)*SQRT((1/Q27-1/P27)*(1/Q27-1/P27) + 4*BA27/((BA27+1)*(BA27+1))*(2*1/Q27*1/P27-1/P27*1/P27)))</f>
        <v>0</v>
      </c>
      <c r="P27">
        <f>IF(LEFT(BB27,1)&lt;&gt;"0",IF(LEFT(BB27,1)="1",3.0,BC27),$D$5+$E$5*(BT27*BM27/($K$5*1000))+$F$5*(BT27*BM27/($K$5*1000))*MAX(MIN(AZ27,$J$5),$I$5)*MAX(MIN(AZ27,$J$5),$I$5)+$G$5*MAX(MIN(AZ27,$J$5),$I$5)*(BT27*BM27/($K$5*1000))+$H$5*(BT27*BM27/($K$5*1000))*(BT27*BM27/($K$5*1000)))</f>
        <v>0</v>
      </c>
      <c r="Q27">
        <f>H27*(1000-(1000*0.61365*exp(17.502*U27/(240.97+U27))/(BM27+BN27)+BH27)/2)/(1000*0.61365*exp(17.502*U27/(240.97+U27))/(BM27+BN27)-BH27)</f>
        <v>0</v>
      </c>
      <c r="R27">
        <f>1/((BA27+1)/(O27/1.6)+1/(P27/1.37)) + BA27/((BA27+1)/(O27/1.6) + BA27/(P27/1.37))</f>
        <v>0</v>
      </c>
      <c r="S27">
        <f>(AV27*AY27)</f>
        <v>0</v>
      </c>
      <c r="T27">
        <f>(BO27+(S27+2*0.95*5.67E-8*(((BO27+$B$7)+273)^4-(BO27+273)^4)-44100*H27)/(1.84*29.3*P27+8*0.95*5.67E-8*(BO27+273)^3))</f>
        <v>0</v>
      </c>
      <c r="U27">
        <f>($C$7*BP27+$D$7*BQ27+$E$7*T27)</f>
        <v>0</v>
      </c>
      <c r="V27">
        <f>0.61365*exp(17.502*U27/(240.97+U27))</f>
        <v>0</v>
      </c>
      <c r="W27">
        <f>(X27/Y27*100)</f>
        <v>0</v>
      </c>
      <c r="X27">
        <f>BH27*(BM27+BN27)/1000</f>
        <v>0</v>
      </c>
      <c r="Y27">
        <f>0.61365*exp(17.502*BO27/(240.97+BO27))</f>
        <v>0</v>
      </c>
      <c r="Z27">
        <f>(V27-BH27*(BM27+BN27)/1000)</f>
        <v>0</v>
      </c>
      <c r="AA27">
        <f>(-H27*44100)</f>
        <v>0</v>
      </c>
      <c r="AB27">
        <f>2*29.3*P27*0.92*(BO27-U27)</f>
        <v>0</v>
      </c>
      <c r="AC27">
        <f>2*0.95*5.67E-8*(((BO27+$B$7)+273)^4-(U27+273)^4)</f>
        <v>0</v>
      </c>
      <c r="AD27">
        <f>S27+AC27+AA27+AB27</f>
        <v>0</v>
      </c>
      <c r="AE27">
        <f>BL27*AS27*(BG27-BF27*(1000-AS27*BI27)/(1000-AS27*BH27))/(100*AZ27)</f>
        <v>0</v>
      </c>
      <c r="AF27">
        <f>1000*BL27*AS27*(BH27-BI27)/(100*AZ27*(1000-AS27*BH27))</f>
        <v>0</v>
      </c>
      <c r="AG27">
        <f>(AH27 - AI27 - BM27*1E3/(8.314*(BO27+273.15)) * AK27/BL27 * AJ27) * BL27/(100*AZ27) * (1000 - BI27)/1000</f>
        <v>0</v>
      </c>
      <c r="AH27">
        <v>411.5231560570738</v>
      </c>
      <c r="AI27">
        <v>406.4560545454547</v>
      </c>
      <c r="AJ27">
        <v>-0.0005810469584577973</v>
      </c>
      <c r="AK27">
        <v>66.96006015110156</v>
      </c>
      <c r="AL27">
        <f>(AN27 - AM27 + BM27*1E3/(8.314*(BO27+273.15)) * AP27/BL27 * AO27) * BL27/(100*AZ27) * 1000/(1000 - AN27)</f>
        <v>0</v>
      </c>
      <c r="AM27">
        <v>15.88043441498054</v>
      </c>
      <c r="AN27">
        <v>17.1598496969697</v>
      </c>
      <c r="AO27">
        <v>1.634865573924828E-05</v>
      </c>
      <c r="AP27">
        <v>79.18921319378785</v>
      </c>
      <c r="AQ27">
        <v>472</v>
      </c>
      <c r="AR27">
        <v>59</v>
      </c>
      <c r="AS27">
        <f>IF(AQ27*$H$13&gt;=AU27,1.0,(AU27/(AU27-AQ27*$H$13)))</f>
        <v>0</v>
      </c>
      <c r="AT27">
        <f>(AS27-1)*100</f>
        <v>0</v>
      </c>
      <c r="AU27">
        <f>MAX(0,($B$13+$C$13*BT27)/(1+$D$13*BT27)*BM27/(BO27+273)*$E$13)</f>
        <v>0</v>
      </c>
      <c r="AV27">
        <f>$B$11*BU27+$C$11*BV27+$F$11*CG27*(1-CJ27)</f>
        <v>0</v>
      </c>
      <c r="AW27">
        <f>AV27*AX27</f>
        <v>0</v>
      </c>
      <c r="AX27">
        <f>($B$11*$D$9+$C$11*$D$9+$F$11*((CT27+CL27)/MAX(CT27+CL27+CU27, 0.1)*$I$9+CU27/MAX(CT27+CL27+CU27, 0.1)*$J$9))/($B$11+$C$11+$F$11)</f>
        <v>0</v>
      </c>
      <c r="AY27">
        <f>($B$11*$K$9+$C$11*$K$9+$F$11*((CT27+CL27)/MAX(CT27+CL27+CU27, 0.1)*$P$9+CU27/MAX(CT27+CL27+CU27, 0.1)*$Q$9))/($B$11+$C$11+$F$11)</f>
        <v>0</v>
      </c>
      <c r="AZ27">
        <v>6</v>
      </c>
      <c r="BA27">
        <v>0.5</v>
      </c>
      <c r="BB27" t="s">
        <v>353</v>
      </c>
      <c r="BC27">
        <v>2</v>
      </c>
      <c r="BD27" t="b">
        <v>0</v>
      </c>
      <c r="BE27">
        <v>1750958782.5</v>
      </c>
      <c r="BF27">
        <v>399.4285483870968</v>
      </c>
      <c r="BG27">
        <v>405.0019032258065</v>
      </c>
      <c r="BH27">
        <v>17.15378064516129</v>
      </c>
      <c r="BI27">
        <v>15.88030967741935</v>
      </c>
      <c r="BJ27">
        <v>398.1015483870968</v>
      </c>
      <c r="BK27">
        <v>17.04606451612903</v>
      </c>
      <c r="BL27">
        <v>800.0035806451614</v>
      </c>
      <c r="BM27">
        <v>101.226064516129</v>
      </c>
      <c r="BN27">
        <v>0.1000013709677419</v>
      </c>
      <c r="BO27">
        <v>24.97223225806452</v>
      </c>
      <c r="BP27">
        <v>24.70606451612903</v>
      </c>
      <c r="BQ27">
        <v>999.9000000000003</v>
      </c>
      <c r="BR27">
        <v>0</v>
      </c>
      <c r="BS27">
        <v>0</v>
      </c>
      <c r="BT27">
        <v>9999.352258064515</v>
      </c>
      <c r="BU27">
        <v>0</v>
      </c>
      <c r="BV27">
        <v>0.00152894</v>
      </c>
      <c r="BW27">
        <v>-5.510751612903225</v>
      </c>
      <c r="BX27">
        <v>406.4634516129031</v>
      </c>
      <c r="BY27">
        <v>411.5371290322581</v>
      </c>
      <c r="BZ27">
        <v>1.273477741935484</v>
      </c>
      <c r="CA27">
        <v>405.0019032258065</v>
      </c>
      <c r="CB27">
        <v>15.88030967741935</v>
      </c>
      <c r="CC27">
        <v>1.736408064516129</v>
      </c>
      <c r="CD27">
        <v>1.60749935483871</v>
      </c>
      <c r="CE27">
        <v>15.22578709677419</v>
      </c>
      <c r="CF27">
        <v>14.03087741935484</v>
      </c>
      <c r="CG27">
        <v>1000.009225806451</v>
      </c>
      <c r="CH27">
        <v>0.9600190645161291</v>
      </c>
      <c r="CI27">
        <v>0.03998116774193548</v>
      </c>
      <c r="CJ27">
        <v>0</v>
      </c>
      <c r="CK27">
        <v>1.893387096774194</v>
      </c>
      <c r="CL27">
        <v>0</v>
      </c>
      <c r="CM27">
        <v>5822.383548387096</v>
      </c>
      <c r="CN27">
        <v>7947.051612903227</v>
      </c>
      <c r="CO27">
        <v>36.47754838709676</v>
      </c>
      <c r="CP27">
        <v>40.22958064516128</v>
      </c>
      <c r="CQ27">
        <v>37.91509677419354</v>
      </c>
      <c r="CR27">
        <v>39.22151612903225</v>
      </c>
      <c r="CS27">
        <v>36.82435483870967</v>
      </c>
      <c r="CT27">
        <v>960.0277419354837</v>
      </c>
      <c r="CU27">
        <v>39.98064516129033</v>
      </c>
      <c r="CV27">
        <v>0</v>
      </c>
      <c r="CW27">
        <v>1750958807.9</v>
      </c>
      <c r="CX27">
        <v>0</v>
      </c>
      <c r="CY27">
        <v>1750958816.5</v>
      </c>
      <c r="CZ27" t="s">
        <v>389</v>
      </c>
      <c r="DA27">
        <v>1750958816.5</v>
      </c>
      <c r="DB27">
        <v>1750958612.5</v>
      </c>
      <c r="DC27">
        <v>11</v>
      </c>
      <c r="DD27">
        <v>-0.06</v>
      </c>
      <c r="DE27">
        <v>0.001</v>
      </c>
      <c r="DF27">
        <v>1.327</v>
      </c>
      <c r="DG27">
        <v>0.1</v>
      </c>
      <c r="DH27">
        <v>405</v>
      </c>
      <c r="DI27">
        <v>17</v>
      </c>
      <c r="DJ27">
        <v>0.17</v>
      </c>
      <c r="DK27">
        <v>0.13</v>
      </c>
      <c r="DL27">
        <v>-5.49226125</v>
      </c>
      <c r="DM27">
        <v>-0.2516617260787859</v>
      </c>
      <c r="DN27">
        <v>0.0358957751822899</v>
      </c>
      <c r="DO27">
        <v>0</v>
      </c>
      <c r="DP27">
        <v>1.26794075</v>
      </c>
      <c r="DQ27">
        <v>0.09846157598498761</v>
      </c>
      <c r="DR27">
        <v>0.009997789352526886</v>
      </c>
      <c r="DS27">
        <v>1</v>
      </c>
      <c r="DT27">
        <v>1</v>
      </c>
      <c r="DU27">
        <v>2</v>
      </c>
      <c r="DV27" t="s">
        <v>355</v>
      </c>
      <c r="DW27">
        <v>3.44894</v>
      </c>
      <c r="DX27">
        <v>2.78057</v>
      </c>
      <c r="DY27">
        <v>0.0965704</v>
      </c>
      <c r="DZ27">
        <v>0.0977837</v>
      </c>
      <c r="EA27">
        <v>0.09411070000000001</v>
      </c>
      <c r="EB27">
        <v>0.0885431</v>
      </c>
      <c r="EC27">
        <v>27248.8</v>
      </c>
      <c r="ED27">
        <v>30984.4</v>
      </c>
      <c r="EE27">
        <v>29294</v>
      </c>
      <c r="EF27">
        <v>34927.4</v>
      </c>
      <c r="EG27">
        <v>30693.9</v>
      </c>
      <c r="EH27">
        <v>39510.2</v>
      </c>
      <c r="EI27">
        <v>36069.1</v>
      </c>
      <c r="EJ27">
        <v>46223</v>
      </c>
      <c r="EK27">
        <v>1.64678</v>
      </c>
      <c r="EL27">
        <v>2.26288</v>
      </c>
      <c r="EM27">
        <v>0.08776780000000001</v>
      </c>
      <c r="EN27">
        <v>0</v>
      </c>
      <c r="EO27">
        <v>23.2682</v>
      </c>
      <c r="EP27">
        <v>999.9</v>
      </c>
      <c r="EQ27">
        <v>61.2</v>
      </c>
      <c r="ER27">
        <v>24.8</v>
      </c>
      <c r="ES27">
        <v>18.9971</v>
      </c>
      <c r="ET27">
        <v>61.8801</v>
      </c>
      <c r="EU27">
        <v>25.8614</v>
      </c>
      <c r="EV27">
        <v>2</v>
      </c>
      <c r="EW27">
        <v>-0.322693</v>
      </c>
      <c r="EX27">
        <v>0</v>
      </c>
      <c r="EY27">
        <v>20.296</v>
      </c>
      <c r="EZ27">
        <v>5.21325</v>
      </c>
      <c r="FA27">
        <v>11.968</v>
      </c>
      <c r="FB27">
        <v>4.99145</v>
      </c>
      <c r="FC27">
        <v>3.27198</v>
      </c>
      <c r="FD27">
        <v>3105.2</v>
      </c>
      <c r="FE27">
        <v>9999</v>
      </c>
      <c r="FF27">
        <v>9999</v>
      </c>
      <c r="FG27">
        <v>999.9</v>
      </c>
      <c r="FH27">
        <v>4.97263</v>
      </c>
      <c r="FI27">
        <v>1.86263</v>
      </c>
      <c r="FJ27">
        <v>1.8644</v>
      </c>
      <c r="FK27">
        <v>1.86279</v>
      </c>
      <c r="FL27">
        <v>1.86279</v>
      </c>
      <c r="FM27">
        <v>1.8634</v>
      </c>
      <c r="FN27">
        <v>1.85989</v>
      </c>
      <c r="FO27">
        <v>1.86265</v>
      </c>
      <c r="FP27">
        <v>0</v>
      </c>
      <c r="FQ27">
        <v>0</v>
      </c>
      <c r="FR27">
        <v>0</v>
      </c>
      <c r="FS27">
        <v>0</v>
      </c>
      <c r="FT27" t="s">
        <v>356</v>
      </c>
      <c r="FU27" t="s">
        <v>357</v>
      </c>
      <c r="FV27" t="s">
        <v>358</v>
      </c>
      <c r="FW27" t="s">
        <v>358</v>
      </c>
      <c r="FX27" t="s">
        <v>358</v>
      </c>
      <c r="FY27" t="s">
        <v>358</v>
      </c>
      <c r="FZ27">
        <v>0</v>
      </c>
      <c r="GA27">
        <v>100</v>
      </c>
      <c r="GB27">
        <v>100</v>
      </c>
      <c r="GC27">
        <v>1.327</v>
      </c>
      <c r="GD27">
        <v>0.1079</v>
      </c>
      <c r="GE27">
        <v>1.670728659217796</v>
      </c>
      <c r="GF27">
        <v>-0.001033730503750798</v>
      </c>
      <c r="GG27">
        <v>9.120241388950126E-07</v>
      </c>
      <c r="GH27">
        <v>-2.246115299815222E-10</v>
      </c>
      <c r="GI27">
        <v>-0.09624316860878276</v>
      </c>
      <c r="GJ27">
        <v>-0.01814858093373864</v>
      </c>
      <c r="GK27">
        <v>0.002091959988359369</v>
      </c>
      <c r="GL27">
        <v>-1.90871700788604E-05</v>
      </c>
      <c r="GM27">
        <v>2</v>
      </c>
      <c r="GN27">
        <v>2210</v>
      </c>
      <c r="GO27">
        <v>1</v>
      </c>
      <c r="GP27">
        <v>26</v>
      </c>
      <c r="GQ27">
        <v>3</v>
      </c>
      <c r="GR27">
        <v>3</v>
      </c>
      <c r="GS27">
        <v>1.26221</v>
      </c>
      <c r="GT27">
        <v>2.34253</v>
      </c>
      <c r="GU27">
        <v>2.34741</v>
      </c>
      <c r="GV27">
        <v>2.73682</v>
      </c>
      <c r="GW27">
        <v>2.39868</v>
      </c>
      <c r="GX27">
        <v>2.27417</v>
      </c>
      <c r="GY27">
        <v>29.9006</v>
      </c>
      <c r="GZ27">
        <v>16.0496</v>
      </c>
      <c r="HA27">
        <v>18</v>
      </c>
      <c r="HB27">
        <v>290.32</v>
      </c>
      <c r="HC27">
        <v>659.8819999999999</v>
      </c>
      <c r="HD27">
        <v>24.1755</v>
      </c>
      <c r="HE27">
        <v>23.2891</v>
      </c>
      <c r="HF27">
        <v>30.0004</v>
      </c>
      <c r="HG27">
        <v>23.1593</v>
      </c>
      <c r="HH27">
        <v>23.0903</v>
      </c>
      <c r="HI27">
        <v>25.3179</v>
      </c>
      <c r="HJ27">
        <v>23.409</v>
      </c>
      <c r="HK27">
        <v>40.0325</v>
      </c>
      <c r="HL27">
        <v>-999.9</v>
      </c>
      <c r="HM27">
        <v>405</v>
      </c>
      <c r="HN27">
        <v>15.9074</v>
      </c>
      <c r="HO27">
        <v>100.592</v>
      </c>
      <c r="HP27">
        <v>100.938</v>
      </c>
    </row>
    <row r="28" spans="1:224">
      <c r="A28">
        <v>12</v>
      </c>
      <c r="B28">
        <v>1750958927.1</v>
      </c>
      <c r="C28">
        <v>1656.099999904633</v>
      </c>
      <c r="D28" t="s">
        <v>390</v>
      </c>
      <c r="E28" t="s">
        <v>391</v>
      </c>
      <c r="F28">
        <v>15</v>
      </c>
      <c r="G28">
        <v>1750958919.190322</v>
      </c>
      <c r="H28">
        <f>(I28)/1000</f>
        <v>0</v>
      </c>
      <c r="I28">
        <f>IF(BD28, AL28, AF28)</f>
        <v>0</v>
      </c>
      <c r="J28">
        <f>IF(BD28, AG28, AE28)</f>
        <v>0</v>
      </c>
      <c r="K28">
        <f>BF28 - IF(AS28&gt;1, J28*AZ28*100.0/(AU28), 0)</f>
        <v>0</v>
      </c>
      <c r="L28">
        <f>((R28-H28/2)*K28-J28)/(R28+H28/2)</f>
        <v>0</v>
      </c>
      <c r="M28">
        <f>L28*(BM28+BN28)/1000.0</f>
        <v>0</v>
      </c>
      <c r="N28">
        <f>(BF28 - IF(AS28&gt;1, J28*AZ28*100.0/(AU28), 0))*(BM28+BN28)/1000.0</f>
        <v>0</v>
      </c>
      <c r="O28">
        <f>2.0/((1/Q28-1/P28)+SIGN(Q28)*SQRT((1/Q28-1/P28)*(1/Q28-1/P28) + 4*BA28/((BA28+1)*(BA28+1))*(2*1/Q28*1/P28-1/P28*1/P28)))</f>
        <v>0</v>
      </c>
      <c r="P28">
        <f>IF(LEFT(BB28,1)&lt;&gt;"0",IF(LEFT(BB28,1)="1",3.0,BC28),$D$5+$E$5*(BT28*BM28/($K$5*1000))+$F$5*(BT28*BM28/($K$5*1000))*MAX(MIN(AZ28,$J$5),$I$5)*MAX(MIN(AZ28,$J$5),$I$5)+$G$5*MAX(MIN(AZ28,$J$5),$I$5)*(BT28*BM28/($K$5*1000))+$H$5*(BT28*BM28/($K$5*1000))*(BT28*BM28/($K$5*1000)))</f>
        <v>0</v>
      </c>
      <c r="Q28">
        <f>H28*(1000-(1000*0.61365*exp(17.502*U28/(240.97+U28))/(BM28+BN28)+BH28)/2)/(1000*0.61365*exp(17.502*U28/(240.97+U28))/(BM28+BN28)-BH28)</f>
        <v>0</v>
      </c>
      <c r="R28">
        <f>1/((BA28+1)/(O28/1.6)+1/(P28/1.37)) + BA28/((BA28+1)/(O28/1.6) + BA28/(P28/1.37))</f>
        <v>0</v>
      </c>
      <c r="S28">
        <f>(AV28*AY28)</f>
        <v>0</v>
      </c>
      <c r="T28">
        <f>(BO28+(S28+2*0.95*5.67E-8*(((BO28+$B$7)+273)^4-(BO28+273)^4)-44100*H28)/(1.84*29.3*P28+8*0.95*5.67E-8*(BO28+273)^3))</f>
        <v>0</v>
      </c>
      <c r="U28">
        <f>($C$7*BP28+$D$7*BQ28+$E$7*T28)</f>
        <v>0</v>
      </c>
      <c r="V28">
        <f>0.61365*exp(17.502*U28/(240.97+U28))</f>
        <v>0</v>
      </c>
      <c r="W28">
        <f>(X28/Y28*100)</f>
        <v>0</v>
      </c>
      <c r="X28">
        <f>BH28*(BM28+BN28)/1000</f>
        <v>0</v>
      </c>
      <c r="Y28">
        <f>0.61365*exp(17.502*BO28/(240.97+BO28))</f>
        <v>0</v>
      </c>
      <c r="Z28">
        <f>(V28-BH28*(BM28+BN28)/1000)</f>
        <v>0</v>
      </c>
      <c r="AA28">
        <f>(-H28*44100)</f>
        <v>0</v>
      </c>
      <c r="AB28">
        <f>2*29.3*P28*0.92*(BO28-U28)</f>
        <v>0</v>
      </c>
      <c r="AC28">
        <f>2*0.95*5.67E-8*(((BO28+$B$7)+273)^4-(U28+273)^4)</f>
        <v>0</v>
      </c>
      <c r="AD28">
        <f>S28+AC28+AA28+AB28</f>
        <v>0</v>
      </c>
      <c r="AE28">
        <f>BL28*AS28*(BG28-BF28*(1000-AS28*BI28)/(1000-AS28*BH28))/(100*AZ28)</f>
        <v>0</v>
      </c>
      <c r="AF28">
        <f>1000*BL28*AS28*(BH28-BI28)/(100*AZ28*(1000-AS28*BH28))</f>
        <v>0</v>
      </c>
      <c r="AG28">
        <f>(AH28 - AI28 - BM28*1E3/(8.314*(BO28+273.15)) * AK28/BL28 * AJ28) * BL28/(100*AZ28) * (1000 - BI28)/1000</f>
        <v>0</v>
      </c>
      <c r="AH28">
        <v>412.1118540919569</v>
      </c>
      <c r="AI28">
        <v>412.2865454545454</v>
      </c>
      <c r="AJ28">
        <v>-0.0001619041462835181</v>
      </c>
      <c r="AK28">
        <v>66.95653601938339</v>
      </c>
      <c r="AL28">
        <f>(AN28 - AM28 + BM28*1E3/(8.314*(BO28+273.15)) * AP28/BL28 * AO28) * BL28/(100*AZ28) * 1000/(1000 - AN28)</f>
        <v>0</v>
      </c>
      <c r="AM28">
        <v>17.24713487161868</v>
      </c>
      <c r="AN28">
        <v>17.41866909090909</v>
      </c>
      <c r="AO28">
        <v>0.0009492479596879566</v>
      </c>
      <c r="AP28">
        <v>79.23616111199838</v>
      </c>
      <c r="AQ28">
        <v>192</v>
      </c>
      <c r="AR28">
        <v>24</v>
      </c>
      <c r="AS28">
        <f>IF(AQ28*$H$13&gt;=AU28,1.0,(AU28/(AU28-AQ28*$H$13)))</f>
        <v>0</v>
      </c>
      <c r="AT28">
        <f>(AS28-1)*100</f>
        <v>0</v>
      </c>
      <c r="AU28">
        <f>MAX(0,($B$13+$C$13*BT28)/(1+$D$13*BT28)*BM28/(BO28+273)*$E$13)</f>
        <v>0</v>
      </c>
      <c r="AV28">
        <f>$B$11*BU28+$C$11*BV28+$F$11*CG28*(1-CJ28)</f>
        <v>0</v>
      </c>
      <c r="AW28">
        <f>AV28*AX28</f>
        <v>0</v>
      </c>
      <c r="AX28">
        <f>($B$11*$D$9+$C$11*$D$9+$F$11*((CT28+CL28)/MAX(CT28+CL28+CU28, 0.1)*$I$9+CU28/MAX(CT28+CL28+CU28, 0.1)*$J$9))/($B$11+$C$11+$F$11)</f>
        <v>0</v>
      </c>
      <c r="AY28">
        <f>($B$11*$K$9+$C$11*$K$9+$F$11*((CT28+CL28)/MAX(CT28+CL28+CU28, 0.1)*$P$9+CU28/MAX(CT28+CL28+CU28, 0.1)*$Q$9))/($B$11+$C$11+$F$11)</f>
        <v>0</v>
      </c>
      <c r="AZ28">
        <v>6</v>
      </c>
      <c r="BA28">
        <v>0.5</v>
      </c>
      <c r="BB28" t="s">
        <v>353</v>
      </c>
      <c r="BC28">
        <v>2</v>
      </c>
      <c r="BD28" t="b">
        <v>0</v>
      </c>
      <c r="BE28">
        <v>1750958919.190322</v>
      </c>
      <c r="BF28">
        <v>405.0837096774193</v>
      </c>
      <c r="BG28">
        <v>404.9890322580645</v>
      </c>
      <c r="BH28">
        <v>17.38205483870967</v>
      </c>
      <c r="BI28">
        <v>17.23343548387097</v>
      </c>
      <c r="BJ28">
        <v>403.7707096774193</v>
      </c>
      <c r="BK28">
        <v>17.27005483870968</v>
      </c>
      <c r="BL28">
        <v>799.995</v>
      </c>
      <c r="BM28">
        <v>101.2240967741935</v>
      </c>
      <c r="BN28">
        <v>0.09991013548387097</v>
      </c>
      <c r="BO28">
        <v>25.16601290322581</v>
      </c>
      <c r="BP28">
        <v>24.80820322580645</v>
      </c>
      <c r="BQ28">
        <v>999.9000000000003</v>
      </c>
      <c r="BR28">
        <v>0</v>
      </c>
      <c r="BS28">
        <v>0</v>
      </c>
      <c r="BT28">
        <v>10000.6464516129</v>
      </c>
      <c r="BU28">
        <v>0</v>
      </c>
      <c r="BV28">
        <v>0.0015536</v>
      </c>
      <c r="BW28">
        <v>0.1091634258064516</v>
      </c>
      <c r="BX28">
        <v>412.2656774193549</v>
      </c>
      <c r="BY28">
        <v>412.0905483870968</v>
      </c>
      <c r="BZ28">
        <v>0.1525761935483871</v>
      </c>
      <c r="CA28">
        <v>404.9890322580645</v>
      </c>
      <c r="CB28">
        <v>17.23343548387097</v>
      </c>
      <c r="CC28">
        <v>1.759886129032258</v>
      </c>
      <c r="CD28">
        <v>1.744441612903226</v>
      </c>
      <c r="CE28">
        <v>15.43497096774193</v>
      </c>
      <c r="CF28">
        <v>15.29764193548387</v>
      </c>
      <c r="CG28">
        <v>999.9964516129032</v>
      </c>
      <c r="CH28">
        <v>0.9599893870967739</v>
      </c>
      <c r="CI28">
        <v>0.04001061290322581</v>
      </c>
      <c r="CJ28">
        <v>0</v>
      </c>
      <c r="CK28">
        <v>1.415483870967742</v>
      </c>
      <c r="CL28">
        <v>0</v>
      </c>
      <c r="CM28">
        <v>4068.46</v>
      </c>
      <c r="CN28">
        <v>7946.850645161291</v>
      </c>
      <c r="CO28">
        <v>37.84045161290322</v>
      </c>
      <c r="CP28">
        <v>41.92925806451613</v>
      </c>
      <c r="CQ28">
        <v>39.30625806451613</v>
      </c>
      <c r="CR28">
        <v>41.46351612903225</v>
      </c>
      <c r="CS28">
        <v>38.16106451612902</v>
      </c>
      <c r="CT28">
        <v>959.9864516129032</v>
      </c>
      <c r="CU28">
        <v>40.01</v>
      </c>
      <c r="CV28">
        <v>0</v>
      </c>
      <c r="CW28">
        <v>1750958944.1</v>
      </c>
      <c r="CX28">
        <v>0</v>
      </c>
      <c r="CY28">
        <v>1750958944.1</v>
      </c>
      <c r="CZ28" t="s">
        <v>392</v>
      </c>
      <c r="DA28">
        <v>1750958943.1</v>
      </c>
      <c r="DB28">
        <v>1750958944.1</v>
      </c>
      <c r="DC28">
        <v>12</v>
      </c>
      <c r="DD28">
        <v>-0.015</v>
      </c>
      <c r="DE28">
        <v>0</v>
      </c>
      <c r="DF28">
        <v>1.313</v>
      </c>
      <c r="DG28">
        <v>0.112</v>
      </c>
      <c r="DH28">
        <v>405</v>
      </c>
      <c r="DI28">
        <v>17</v>
      </c>
      <c r="DJ28">
        <v>0.53</v>
      </c>
      <c r="DK28">
        <v>0.17</v>
      </c>
      <c r="DL28">
        <v>0.1074494756097561</v>
      </c>
      <c r="DM28">
        <v>0.06826014035000826</v>
      </c>
      <c r="DN28">
        <v>0.01949328769156795</v>
      </c>
      <c r="DO28">
        <v>1</v>
      </c>
      <c r="DP28">
        <v>0.1424015926829268</v>
      </c>
      <c r="DQ28">
        <v>0.2053845226644691</v>
      </c>
      <c r="DR28">
        <v>0.02056463788778689</v>
      </c>
      <c r="DS28">
        <v>0</v>
      </c>
      <c r="DT28">
        <v>1</v>
      </c>
      <c r="DU28">
        <v>2</v>
      </c>
      <c r="DV28" t="s">
        <v>355</v>
      </c>
      <c r="DW28">
        <v>3.44967</v>
      </c>
      <c r="DX28">
        <v>2.7808</v>
      </c>
      <c r="DY28">
        <v>0.097609</v>
      </c>
      <c r="DZ28">
        <v>0.0977872</v>
      </c>
      <c r="EA28">
        <v>0.095101</v>
      </c>
      <c r="EB28">
        <v>0.0939648</v>
      </c>
      <c r="EC28">
        <v>27214.9</v>
      </c>
      <c r="ED28">
        <v>30981.2</v>
      </c>
      <c r="EE28">
        <v>29291.4</v>
      </c>
      <c r="EF28">
        <v>34924.1</v>
      </c>
      <c r="EG28">
        <v>30657.8</v>
      </c>
      <c r="EH28">
        <v>39271.1</v>
      </c>
      <c r="EI28">
        <v>36066.5</v>
      </c>
      <c r="EJ28">
        <v>46218.6</v>
      </c>
      <c r="EK28">
        <v>2.2234</v>
      </c>
      <c r="EL28">
        <v>2.26327</v>
      </c>
      <c r="EM28">
        <v>0.0914633</v>
      </c>
      <c r="EN28">
        <v>0</v>
      </c>
      <c r="EO28">
        <v>23.325</v>
      </c>
      <c r="EP28">
        <v>999.9</v>
      </c>
      <c r="EQ28">
        <v>61.1</v>
      </c>
      <c r="ER28">
        <v>24.9</v>
      </c>
      <c r="ES28">
        <v>19.0793</v>
      </c>
      <c r="ET28">
        <v>61.8246</v>
      </c>
      <c r="EU28">
        <v>25.7252</v>
      </c>
      <c r="EV28">
        <v>2</v>
      </c>
      <c r="EW28">
        <v>-0.318028</v>
      </c>
      <c r="EX28">
        <v>0</v>
      </c>
      <c r="EY28">
        <v>20.2954</v>
      </c>
      <c r="EZ28">
        <v>5.20816</v>
      </c>
      <c r="FA28">
        <v>11.968</v>
      </c>
      <c r="FB28">
        <v>4.9895</v>
      </c>
      <c r="FC28">
        <v>3.27132</v>
      </c>
      <c r="FD28">
        <v>3109.3</v>
      </c>
      <c r="FE28">
        <v>9999</v>
      </c>
      <c r="FF28">
        <v>9999</v>
      </c>
      <c r="FG28">
        <v>999.9</v>
      </c>
      <c r="FH28">
        <v>4.9726</v>
      </c>
      <c r="FI28">
        <v>1.86263</v>
      </c>
      <c r="FJ28">
        <v>1.86433</v>
      </c>
      <c r="FK28">
        <v>1.86279</v>
      </c>
      <c r="FL28">
        <v>1.86279</v>
      </c>
      <c r="FM28">
        <v>1.8634</v>
      </c>
      <c r="FN28">
        <v>1.85989</v>
      </c>
      <c r="FO28">
        <v>1.86264</v>
      </c>
      <c r="FP28">
        <v>0</v>
      </c>
      <c r="FQ28">
        <v>0</v>
      </c>
      <c r="FR28">
        <v>0</v>
      </c>
      <c r="FS28">
        <v>0</v>
      </c>
      <c r="FT28" t="s">
        <v>356</v>
      </c>
      <c r="FU28" t="s">
        <v>357</v>
      </c>
      <c r="FV28" t="s">
        <v>358</v>
      </c>
      <c r="FW28" t="s">
        <v>358</v>
      </c>
      <c r="FX28" t="s">
        <v>358</v>
      </c>
      <c r="FY28" t="s">
        <v>358</v>
      </c>
      <c r="FZ28">
        <v>0</v>
      </c>
      <c r="GA28">
        <v>100</v>
      </c>
      <c r="GB28">
        <v>100</v>
      </c>
      <c r="GC28">
        <v>1.313</v>
      </c>
      <c r="GD28">
        <v>0.112</v>
      </c>
      <c r="GE28">
        <v>1.610776566181606</v>
      </c>
      <c r="GF28">
        <v>-0.001033730503750798</v>
      </c>
      <c r="GG28">
        <v>9.120241388950126E-07</v>
      </c>
      <c r="GH28">
        <v>-2.246115299815222E-10</v>
      </c>
      <c r="GI28">
        <v>-0.09624316860878276</v>
      </c>
      <c r="GJ28">
        <v>-0.01814858093373864</v>
      </c>
      <c r="GK28">
        <v>0.002091959988359369</v>
      </c>
      <c r="GL28">
        <v>-1.90871700788604E-05</v>
      </c>
      <c r="GM28">
        <v>2</v>
      </c>
      <c r="GN28">
        <v>2210</v>
      </c>
      <c r="GO28">
        <v>1</v>
      </c>
      <c r="GP28">
        <v>26</v>
      </c>
      <c r="GQ28">
        <v>1.8</v>
      </c>
      <c r="GR28">
        <v>5.2</v>
      </c>
      <c r="GS28">
        <v>1.26343</v>
      </c>
      <c r="GT28">
        <v>2.36694</v>
      </c>
      <c r="GU28">
        <v>2.34741</v>
      </c>
      <c r="GV28">
        <v>2.7356</v>
      </c>
      <c r="GW28">
        <v>2.39868</v>
      </c>
      <c r="GX28">
        <v>2.26685</v>
      </c>
      <c r="GY28">
        <v>29.9861</v>
      </c>
      <c r="GZ28">
        <v>16.0321</v>
      </c>
      <c r="HA28">
        <v>18</v>
      </c>
      <c r="HB28">
        <v>583.294</v>
      </c>
      <c r="HC28">
        <v>661.189</v>
      </c>
      <c r="HD28">
        <v>24.273</v>
      </c>
      <c r="HE28">
        <v>23.3604</v>
      </c>
      <c r="HF28">
        <v>30.0002</v>
      </c>
      <c r="HG28">
        <v>23.2186</v>
      </c>
      <c r="HH28">
        <v>23.1674</v>
      </c>
      <c r="HI28">
        <v>25.3534</v>
      </c>
      <c r="HJ28">
        <v>17.1192</v>
      </c>
      <c r="HK28">
        <v>44.2797</v>
      </c>
      <c r="HL28">
        <v>-999.9</v>
      </c>
      <c r="HM28">
        <v>405</v>
      </c>
      <c r="HN28">
        <v>17.1763</v>
      </c>
      <c r="HO28">
        <v>100.584</v>
      </c>
      <c r="HP28">
        <v>100.928</v>
      </c>
    </row>
    <row r="29" spans="1:224">
      <c r="A29">
        <v>13</v>
      </c>
      <c r="B29">
        <v>1750959054.6</v>
      </c>
      <c r="C29">
        <v>1783.599999904633</v>
      </c>
      <c r="D29" t="s">
        <v>393</v>
      </c>
      <c r="E29" t="s">
        <v>394</v>
      </c>
      <c r="F29">
        <v>15</v>
      </c>
      <c r="G29">
        <v>1750959046.849999</v>
      </c>
      <c r="H29">
        <f>(I29)/1000</f>
        <v>0</v>
      </c>
      <c r="I29">
        <f>IF(BD29, AL29, AF29)</f>
        <v>0</v>
      </c>
      <c r="J29">
        <f>IF(BD29, AG29, AE29)</f>
        <v>0</v>
      </c>
      <c r="K29">
        <f>BF29 - IF(AS29&gt;1, J29*AZ29*100.0/(AU29), 0)</f>
        <v>0</v>
      </c>
      <c r="L29">
        <f>((R29-H29/2)*K29-J29)/(R29+H29/2)</f>
        <v>0</v>
      </c>
      <c r="M29">
        <f>L29*(BM29+BN29)/1000.0</f>
        <v>0</v>
      </c>
      <c r="N29">
        <f>(BF29 - IF(AS29&gt;1, J29*AZ29*100.0/(AU29), 0))*(BM29+BN29)/1000.0</f>
        <v>0</v>
      </c>
      <c r="O29">
        <f>2.0/((1/Q29-1/P29)+SIGN(Q29)*SQRT((1/Q29-1/P29)*(1/Q29-1/P29) + 4*BA29/((BA29+1)*(BA29+1))*(2*1/Q29*1/P29-1/P29*1/P29)))</f>
        <v>0</v>
      </c>
      <c r="P29">
        <f>IF(LEFT(BB29,1)&lt;&gt;"0",IF(LEFT(BB29,1)="1",3.0,BC29),$D$5+$E$5*(BT29*BM29/($K$5*1000))+$F$5*(BT29*BM29/($K$5*1000))*MAX(MIN(AZ29,$J$5),$I$5)*MAX(MIN(AZ29,$J$5),$I$5)+$G$5*MAX(MIN(AZ29,$J$5),$I$5)*(BT29*BM29/($K$5*1000))+$H$5*(BT29*BM29/($K$5*1000))*(BT29*BM29/($K$5*1000)))</f>
        <v>0</v>
      </c>
      <c r="Q29">
        <f>H29*(1000-(1000*0.61365*exp(17.502*U29/(240.97+U29))/(BM29+BN29)+BH29)/2)/(1000*0.61365*exp(17.502*U29/(240.97+U29))/(BM29+BN29)-BH29)</f>
        <v>0</v>
      </c>
      <c r="R29">
        <f>1/((BA29+1)/(O29/1.6)+1/(P29/1.37)) + BA29/((BA29+1)/(O29/1.6) + BA29/(P29/1.37))</f>
        <v>0</v>
      </c>
      <c r="S29">
        <f>(AV29*AY29)</f>
        <v>0</v>
      </c>
      <c r="T29">
        <f>(BO29+(S29+2*0.95*5.67E-8*(((BO29+$B$7)+273)^4-(BO29+273)^4)-44100*H29)/(1.84*29.3*P29+8*0.95*5.67E-8*(BO29+273)^3))</f>
        <v>0</v>
      </c>
      <c r="U29">
        <f>($C$7*BP29+$D$7*BQ29+$E$7*T29)</f>
        <v>0</v>
      </c>
      <c r="V29">
        <f>0.61365*exp(17.502*U29/(240.97+U29))</f>
        <v>0</v>
      </c>
      <c r="W29">
        <f>(X29/Y29*100)</f>
        <v>0</v>
      </c>
      <c r="X29">
        <f>BH29*(BM29+BN29)/1000</f>
        <v>0</v>
      </c>
      <c r="Y29">
        <f>0.61365*exp(17.502*BO29/(240.97+BO29))</f>
        <v>0</v>
      </c>
      <c r="Z29">
        <f>(V29-BH29*(BM29+BN29)/1000)</f>
        <v>0</v>
      </c>
      <c r="AA29">
        <f>(-H29*44100)</f>
        <v>0</v>
      </c>
      <c r="AB29">
        <f>2*29.3*P29*0.92*(BO29-U29)</f>
        <v>0</v>
      </c>
      <c r="AC29">
        <f>2*0.95*5.67E-8*(((BO29+$B$7)+273)^4-(U29+273)^4)</f>
        <v>0</v>
      </c>
      <c r="AD29">
        <f>S29+AC29+AA29+AB29</f>
        <v>0</v>
      </c>
      <c r="AE29">
        <f>BL29*AS29*(BG29-BF29*(1000-AS29*BI29)/(1000-AS29*BH29))/(100*AZ29)</f>
        <v>0</v>
      </c>
      <c r="AF29">
        <f>1000*BL29*AS29*(BH29-BI29)/(100*AZ29*(1000-AS29*BH29))</f>
        <v>0</v>
      </c>
      <c r="AG29">
        <f>(AH29 - AI29 - BM29*1E3/(8.314*(BO29+273.15)) * AK29/BL29 * AJ29) * BL29/(100*AZ29) * (1000 - BI29)/1000</f>
        <v>0</v>
      </c>
      <c r="AH29">
        <v>411.9517823049434</v>
      </c>
      <c r="AI29">
        <v>409.8050545454547</v>
      </c>
      <c r="AJ29">
        <v>-0.001605198262659232</v>
      </c>
      <c r="AK29">
        <v>66.95889373320138</v>
      </c>
      <c r="AL29">
        <f>(AN29 - AM29 + BM29*1E3/(8.314*(BO29+273.15)) * AP29/BL29 * AO29) * BL29/(100*AZ29) * 1000/(1000 - AN29)</f>
        <v>0</v>
      </c>
      <c r="AM29">
        <v>16.96709542195552</v>
      </c>
      <c r="AN29">
        <v>17.37684181818182</v>
      </c>
      <c r="AO29">
        <v>7.908630436852429E-05</v>
      </c>
      <c r="AP29">
        <v>79.20314375904459</v>
      </c>
      <c r="AQ29">
        <v>70</v>
      </c>
      <c r="AR29">
        <v>9</v>
      </c>
      <c r="AS29">
        <f>IF(AQ29*$H$13&gt;=AU29,1.0,(AU29/(AU29-AQ29*$H$13)))</f>
        <v>0</v>
      </c>
      <c r="AT29">
        <f>(AS29-1)*100</f>
        <v>0</v>
      </c>
      <c r="AU29">
        <f>MAX(0,($B$13+$C$13*BT29)/(1+$D$13*BT29)*BM29/(BO29+273)*$E$13)</f>
        <v>0</v>
      </c>
      <c r="AV29">
        <f>$B$11*BU29+$C$11*BV29+$F$11*CG29*(1-CJ29)</f>
        <v>0</v>
      </c>
      <c r="AW29">
        <f>AV29*AX29</f>
        <v>0</v>
      </c>
      <c r="AX29">
        <f>($B$11*$D$9+$C$11*$D$9+$F$11*((CT29+CL29)/MAX(CT29+CL29+CU29, 0.1)*$I$9+CU29/MAX(CT29+CL29+CU29, 0.1)*$J$9))/($B$11+$C$11+$F$11)</f>
        <v>0</v>
      </c>
      <c r="AY29">
        <f>($B$11*$K$9+$C$11*$K$9+$F$11*((CT29+CL29)/MAX(CT29+CL29+CU29, 0.1)*$P$9+CU29/MAX(CT29+CL29+CU29, 0.1)*$Q$9))/($B$11+$C$11+$F$11)</f>
        <v>0</v>
      </c>
      <c r="AZ29">
        <v>6</v>
      </c>
      <c r="BA29">
        <v>0.5</v>
      </c>
      <c r="BB29" t="s">
        <v>353</v>
      </c>
      <c r="BC29">
        <v>2</v>
      </c>
      <c r="BD29" t="b">
        <v>0</v>
      </c>
      <c r="BE29">
        <v>1750959046.849999</v>
      </c>
      <c r="BF29">
        <v>402.7193666666668</v>
      </c>
      <c r="BG29">
        <v>404.9908333333333</v>
      </c>
      <c r="BH29">
        <v>17.35260333333333</v>
      </c>
      <c r="BI29">
        <v>16.95990333333333</v>
      </c>
      <c r="BJ29">
        <v>401.3703666666668</v>
      </c>
      <c r="BK29">
        <v>17.25660333333333</v>
      </c>
      <c r="BL29">
        <v>800.0079666666666</v>
      </c>
      <c r="BM29">
        <v>101.225</v>
      </c>
      <c r="BN29">
        <v>0.09972335000000002</v>
      </c>
      <c r="BO29">
        <v>25.14032</v>
      </c>
      <c r="BP29">
        <v>25.06817999999999</v>
      </c>
      <c r="BQ29">
        <v>999.9000000000002</v>
      </c>
      <c r="BR29">
        <v>0</v>
      </c>
      <c r="BS29">
        <v>0</v>
      </c>
      <c r="BT29">
        <v>10000.66466666667</v>
      </c>
      <c r="BU29">
        <v>0</v>
      </c>
      <c r="BV29">
        <v>0.00152894</v>
      </c>
      <c r="BW29">
        <v>-2.306762</v>
      </c>
      <c r="BX29">
        <v>409.8031666666666</v>
      </c>
      <c r="BY29">
        <v>411.9777666666667</v>
      </c>
      <c r="BZ29">
        <v>0.4123956666666667</v>
      </c>
      <c r="CA29">
        <v>404.9908333333333</v>
      </c>
      <c r="CB29">
        <v>16.95990333333333</v>
      </c>
      <c r="CC29">
        <v>1.758508666666667</v>
      </c>
      <c r="CD29">
        <v>1.716764666666666</v>
      </c>
      <c r="CE29">
        <v>15.42278333333333</v>
      </c>
      <c r="CF29">
        <v>15.04884666666666</v>
      </c>
      <c r="CG29">
        <v>1000.0286</v>
      </c>
      <c r="CH29">
        <v>0.9599892000000001</v>
      </c>
      <c r="CI29">
        <v>0.04001067333333333</v>
      </c>
      <c r="CJ29">
        <v>0</v>
      </c>
      <c r="CK29">
        <v>2.146</v>
      </c>
      <c r="CL29">
        <v>0</v>
      </c>
      <c r="CM29">
        <v>3504.944333333333</v>
      </c>
      <c r="CN29">
        <v>7947.108333333334</v>
      </c>
      <c r="CO29">
        <v>35.87886666666667</v>
      </c>
      <c r="CP29">
        <v>38.52266666666665</v>
      </c>
      <c r="CQ29">
        <v>37.21226666666666</v>
      </c>
      <c r="CR29">
        <v>37.73516666666665</v>
      </c>
      <c r="CS29">
        <v>36.23516666666666</v>
      </c>
      <c r="CT29">
        <v>960.018</v>
      </c>
      <c r="CU29">
        <v>40.01033333333333</v>
      </c>
      <c r="CV29">
        <v>0</v>
      </c>
      <c r="CW29">
        <v>1750959071.9</v>
      </c>
      <c r="CX29">
        <v>0</v>
      </c>
      <c r="CY29">
        <v>1750959075.6</v>
      </c>
      <c r="CZ29" t="s">
        <v>395</v>
      </c>
      <c r="DA29">
        <v>1750959075.6</v>
      </c>
      <c r="DB29">
        <v>1750959071.6</v>
      </c>
      <c r="DC29">
        <v>13</v>
      </c>
      <c r="DD29">
        <v>0.036</v>
      </c>
      <c r="DE29">
        <v>-0.006</v>
      </c>
      <c r="DF29">
        <v>1.349</v>
      </c>
      <c r="DG29">
        <v>0.096</v>
      </c>
      <c r="DH29">
        <v>405</v>
      </c>
      <c r="DI29">
        <v>17</v>
      </c>
      <c r="DJ29">
        <v>0.39</v>
      </c>
      <c r="DK29">
        <v>0.13</v>
      </c>
      <c r="DL29">
        <v>-2.304768536585366</v>
      </c>
      <c r="DM29">
        <v>0.0179027874564406</v>
      </c>
      <c r="DN29">
        <v>0.02125436948602949</v>
      </c>
      <c r="DO29">
        <v>1</v>
      </c>
      <c r="DP29">
        <v>0.4194570487804878</v>
      </c>
      <c r="DQ29">
        <v>-0.1103458954703828</v>
      </c>
      <c r="DR29">
        <v>0.01197246953344746</v>
      </c>
      <c r="DS29">
        <v>0</v>
      </c>
      <c r="DT29">
        <v>1</v>
      </c>
      <c r="DU29">
        <v>2</v>
      </c>
      <c r="DV29" t="s">
        <v>355</v>
      </c>
      <c r="DW29">
        <v>3.4494</v>
      </c>
      <c r="DX29">
        <v>2.78065</v>
      </c>
      <c r="DY29">
        <v>0.09715020000000001</v>
      </c>
      <c r="DZ29">
        <v>0.0977546</v>
      </c>
      <c r="EA29">
        <v>0.09491869999999999</v>
      </c>
      <c r="EB29">
        <v>0.0928339</v>
      </c>
      <c r="EC29">
        <v>27227.4</v>
      </c>
      <c r="ED29">
        <v>30980.4</v>
      </c>
      <c r="EE29">
        <v>29290.1</v>
      </c>
      <c r="EF29">
        <v>34922.3</v>
      </c>
      <c r="EG29">
        <v>30663.2</v>
      </c>
      <c r="EH29">
        <v>39318.7</v>
      </c>
      <c r="EI29">
        <v>36065.4</v>
      </c>
      <c r="EJ29">
        <v>46216.7</v>
      </c>
      <c r="EK29">
        <v>2.42615</v>
      </c>
      <c r="EL29">
        <v>2.26098</v>
      </c>
      <c r="EM29">
        <v>0.09903679999999999</v>
      </c>
      <c r="EN29">
        <v>0</v>
      </c>
      <c r="EO29">
        <v>23.4605</v>
      </c>
      <c r="EP29">
        <v>999.9</v>
      </c>
      <c r="EQ29">
        <v>61.3</v>
      </c>
      <c r="ER29">
        <v>25</v>
      </c>
      <c r="ES29">
        <v>19.255</v>
      </c>
      <c r="ET29">
        <v>61.7846</v>
      </c>
      <c r="EU29">
        <v>25.6651</v>
      </c>
      <c r="EV29">
        <v>2</v>
      </c>
      <c r="EW29">
        <v>-0.313887</v>
      </c>
      <c r="EX29">
        <v>0</v>
      </c>
      <c r="EY29">
        <v>20.294</v>
      </c>
      <c r="EZ29">
        <v>5.21085</v>
      </c>
      <c r="FA29">
        <v>11.968</v>
      </c>
      <c r="FB29">
        <v>4.9908</v>
      </c>
      <c r="FC29">
        <v>3.272</v>
      </c>
      <c r="FD29">
        <v>3113.2</v>
      </c>
      <c r="FE29">
        <v>9999</v>
      </c>
      <c r="FF29">
        <v>9999</v>
      </c>
      <c r="FG29">
        <v>999.9</v>
      </c>
      <c r="FH29">
        <v>4.97261</v>
      </c>
      <c r="FI29">
        <v>1.86264</v>
      </c>
      <c r="FJ29">
        <v>1.86436</v>
      </c>
      <c r="FK29">
        <v>1.86279</v>
      </c>
      <c r="FL29">
        <v>1.86279</v>
      </c>
      <c r="FM29">
        <v>1.8634</v>
      </c>
      <c r="FN29">
        <v>1.85989</v>
      </c>
      <c r="FO29">
        <v>1.86266</v>
      </c>
      <c r="FP29">
        <v>0</v>
      </c>
      <c r="FQ29">
        <v>0</v>
      </c>
      <c r="FR29">
        <v>0</v>
      </c>
      <c r="FS29">
        <v>0</v>
      </c>
      <c r="FT29" t="s">
        <v>356</v>
      </c>
      <c r="FU29" t="s">
        <v>357</v>
      </c>
      <c r="FV29" t="s">
        <v>358</v>
      </c>
      <c r="FW29" t="s">
        <v>358</v>
      </c>
      <c r="FX29" t="s">
        <v>358</v>
      </c>
      <c r="FY29" t="s">
        <v>358</v>
      </c>
      <c r="FZ29">
        <v>0</v>
      </c>
      <c r="GA29">
        <v>100</v>
      </c>
      <c r="GB29">
        <v>100</v>
      </c>
      <c r="GC29">
        <v>1.349</v>
      </c>
      <c r="GD29">
        <v>0.096</v>
      </c>
      <c r="GE29">
        <v>1.596160952045797</v>
      </c>
      <c r="GF29">
        <v>-0.001033730503750798</v>
      </c>
      <c r="GG29">
        <v>9.120241388950126E-07</v>
      </c>
      <c r="GH29">
        <v>-2.246115299815222E-10</v>
      </c>
      <c r="GI29">
        <v>-0.09600660106495831</v>
      </c>
      <c r="GJ29">
        <v>-0.01814858093373864</v>
      </c>
      <c r="GK29">
        <v>0.002091959988359369</v>
      </c>
      <c r="GL29">
        <v>-1.90871700788604E-05</v>
      </c>
      <c r="GM29">
        <v>2</v>
      </c>
      <c r="GN29">
        <v>2210</v>
      </c>
      <c r="GO29">
        <v>1</v>
      </c>
      <c r="GP29">
        <v>26</v>
      </c>
      <c r="GQ29">
        <v>1.9</v>
      </c>
      <c r="GR29">
        <v>1.8</v>
      </c>
      <c r="GS29">
        <v>1.26465</v>
      </c>
      <c r="GT29">
        <v>2.36206</v>
      </c>
      <c r="GU29">
        <v>2.34741</v>
      </c>
      <c r="GV29">
        <v>2.73682</v>
      </c>
      <c r="GW29">
        <v>2.39868</v>
      </c>
      <c r="GX29">
        <v>2.2644</v>
      </c>
      <c r="GY29">
        <v>30.0718</v>
      </c>
      <c r="GZ29">
        <v>16.0233</v>
      </c>
      <c r="HA29">
        <v>18</v>
      </c>
      <c r="HB29">
        <v>730.705</v>
      </c>
      <c r="HC29">
        <v>660.2190000000001</v>
      </c>
      <c r="HD29">
        <v>24.3694</v>
      </c>
      <c r="HE29">
        <v>23.4269</v>
      </c>
      <c r="HF29">
        <v>30.0001</v>
      </c>
      <c r="HG29">
        <v>23.283</v>
      </c>
      <c r="HH29">
        <v>23.2382</v>
      </c>
      <c r="HI29">
        <v>25.3568</v>
      </c>
      <c r="HJ29">
        <v>19.5264</v>
      </c>
      <c r="HK29">
        <v>48.4571</v>
      </c>
      <c r="HL29">
        <v>-999.9</v>
      </c>
      <c r="HM29">
        <v>405</v>
      </c>
      <c r="HN29">
        <v>16.9358</v>
      </c>
      <c r="HO29">
        <v>100.58</v>
      </c>
      <c r="HP29">
        <v>100.924</v>
      </c>
    </row>
    <row r="30" spans="1:224">
      <c r="A30">
        <v>14</v>
      </c>
      <c r="B30">
        <v>1750959175.6</v>
      </c>
      <c r="C30">
        <v>1904.599999904633</v>
      </c>
      <c r="D30" t="s">
        <v>396</v>
      </c>
      <c r="E30" t="s">
        <v>397</v>
      </c>
      <c r="F30">
        <v>15</v>
      </c>
      <c r="G30">
        <v>1750959167.599999</v>
      </c>
      <c r="H30">
        <f>(I30)/1000</f>
        <v>0</v>
      </c>
      <c r="I30">
        <f>IF(BD30, AL30, AF30)</f>
        <v>0</v>
      </c>
      <c r="J30">
        <f>IF(BD30, AG30, AE30)</f>
        <v>0</v>
      </c>
      <c r="K30">
        <f>BF30 - IF(AS30&gt;1, J30*AZ30*100.0/(AU30), 0)</f>
        <v>0</v>
      </c>
      <c r="L30">
        <f>((R30-H30/2)*K30-J30)/(R30+H30/2)</f>
        <v>0</v>
      </c>
      <c r="M30">
        <f>L30*(BM30+BN30)/1000.0</f>
        <v>0</v>
      </c>
      <c r="N30">
        <f>(BF30 - IF(AS30&gt;1, J30*AZ30*100.0/(AU30), 0))*(BM30+BN30)/1000.0</f>
        <v>0</v>
      </c>
      <c r="O30">
        <f>2.0/((1/Q30-1/P30)+SIGN(Q30)*SQRT((1/Q30-1/P30)*(1/Q30-1/P30) + 4*BA30/((BA30+1)*(BA30+1))*(2*1/Q30*1/P30-1/P30*1/P30)))</f>
        <v>0</v>
      </c>
      <c r="P30">
        <f>IF(LEFT(BB30,1)&lt;&gt;"0",IF(LEFT(BB30,1)="1",3.0,BC30),$D$5+$E$5*(BT30*BM30/($K$5*1000))+$F$5*(BT30*BM30/($K$5*1000))*MAX(MIN(AZ30,$J$5),$I$5)*MAX(MIN(AZ30,$J$5),$I$5)+$G$5*MAX(MIN(AZ30,$J$5),$I$5)*(BT30*BM30/($K$5*1000))+$H$5*(BT30*BM30/($K$5*1000))*(BT30*BM30/($K$5*1000)))</f>
        <v>0</v>
      </c>
      <c r="Q30">
        <f>H30*(1000-(1000*0.61365*exp(17.502*U30/(240.97+U30))/(BM30+BN30)+BH30)/2)/(1000*0.61365*exp(17.502*U30/(240.97+U30))/(BM30+BN30)-BH30)</f>
        <v>0</v>
      </c>
      <c r="R30">
        <f>1/((BA30+1)/(O30/1.6)+1/(P30/1.37)) + BA30/((BA30+1)/(O30/1.6) + BA30/(P30/1.37))</f>
        <v>0</v>
      </c>
      <c r="S30">
        <f>(AV30*AY30)</f>
        <v>0</v>
      </c>
      <c r="T30">
        <f>(BO30+(S30+2*0.95*5.67E-8*(((BO30+$B$7)+273)^4-(BO30+273)^4)-44100*H30)/(1.84*29.3*P30+8*0.95*5.67E-8*(BO30+273)^3))</f>
        <v>0</v>
      </c>
      <c r="U30">
        <f>($C$7*BP30+$D$7*BQ30+$E$7*T30)</f>
        <v>0</v>
      </c>
      <c r="V30">
        <f>0.61365*exp(17.502*U30/(240.97+U30))</f>
        <v>0</v>
      </c>
      <c r="W30">
        <f>(X30/Y30*100)</f>
        <v>0</v>
      </c>
      <c r="X30">
        <f>BH30*(BM30+BN30)/1000</f>
        <v>0</v>
      </c>
      <c r="Y30">
        <f>0.61365*exp(17.502*BO30/(240.97+BO30))</f>
        <v>0</v>
      </c>
      <c r="Z30">
        <f>(V30-BH30*(BM30+BN30)/1000)</f>
        <v>0</v>
      </c>
      <c r="AA30">
        <f>(-H30*44100)</f>
        <v>0</v>
      </c>
      <c r="AB30">
        <f>2*29.3*P30*0.92*(BO30-U30)</f>
        <v>0</v>
      </c>
      <c r="AC30">
        <f>2*0.95*5.67E-8*(((BO30+$B$7)+273)^4-(U30+273)^4)</f>
        <v>0</v>
      </c>
      <c r="AD30">
        <f>S30+AC30+AA30+AB30</f>
        <v>0</v>
      </c>
      <c r="AE30">
        <f>BL30*AS30*(BG30-BF30*(1000-AS30*BI30)/(1000-AS30*BH30))/(100*AZ30)</f>
        <v>0</v>
      </c>
      <c r="AF30">
        <f>1000*BL30*AS30*(BH30-BI30)/(100*AZ30*(1000-AS30*BH30))</f>
        <v>0</v>
      </c>
      <c r="AG30">
        <f>(AH30 - AI30 - BM30*1E3/(8.314*(BO30+273.15)) * AK30/BL30 * AJ30) * BL30/(100*AZ30) * (1000 - BI30)/1000</f>
        <v>0</v>
      </c>
      <c r="AH30">
        <v>412.0438212711998</v>
      </c>
      <c r="AI30">
        <v>410.9006666666667</v>
      </c>
      <c r="AJ30">
        <v>-0.000118551499068198</v>
      </c>
      <c r="AK30">
        <v>66.9579366129495</v>
      </c>
      <c r="AL30">
        <f>(AN30 - AM30 + BM30*1E3/(8.314*(BO30+273.15)) * AP30/BL30 * AO30) * BL30/(100*AZ30) * 1000/(1000 - AN30)</f>
        <v>0</v>
      </c>
      <c r="AM30">
        <v>17.19105816083375</v>
      </c>
      <c r="AN30">
        <v>17.48924303030303</v>
      </c>
      <c r="AO30">
        <v>0.0005277886803716794</v>
      </c>
      <c r="AP30">
        <v>79.21525194448618</v>
      </c>
      <c r="AQ30">
        <v>68</v>
      </c>
      <c r="AR30">
        <v>8</v>
      </c>
      <c r="AS30">
        <f>IF(AQ30*$H$13&gt;=AU30,1.0,(AU30/(AU30-AQ30*$H$13)))</f>
        <v>0</v>
      </c>
      <c r="AT30">
        <f>(AS30-1)*100</f>
        <v>0</v>
      </c>
      <c r="AU30">
        <f>MAX(0,($B$13+$C$13*BT30)/(1+$D$13*BT30)*BM30/(BO30+273)*$E$13)</f>
        <v>0</v>
      </c>
      <c r="AV30">
        <f>$B$11*BU30+$C$11*BV30+$F$11*CG30*(1-CJ30)</f>
        <v>0</v>
      </c>
      <c r="AW30">
        <f>AV30*AX30</f>
        <v>0</v>
      </c>
      <c r="AX30">
        <f>($B$11*$D$9+$C$11*$D$9+$F$11*((CT30+CL30)/MAX(CT30+CL30+CU30, 0.1)*$I$9+CU30/MAX(CT30+CL30+CU30, 0.1)*$J$9))/($B$11+$C$11+$F$11)</f>
        <v>0</v>
      </c>
      <c r="AY30">
        <f>($B$11*$K$9+$C$11*$K$9+$F$11*((CT30+CL30)/MAX(CT30+CL30+CU30, 0.1)*$P$9+CU30/MAX(CT30+CL30+CU30, 0.1)*$Q$9))/($B$11+$C$11+$F$11)</f>
        <v>0</v>
      </c>
      <c r="AZ30">
        <v>6</v>
      </c>
      <c r="BA30">
        <v>0.5</v>
      </c>
      <c r="BB30" t="s">
        <v>353</v>
      </c>
      <c r="BC30">
        <v>2</v>
      </c>
      <c r="BD30" t="b">
        <v>0</v>
      </c>
      <c r="BE30">
        <v>1750959167.599999</v>
      </c>
      <c r="BF30">
        <v>403.7017096774193</v>
      </c>
      <c r="BG30">
        <v>404.9816451612903</v>
      </c>
      <c r="BH30">
        <v>17.46064838709678</v>
      </c>
      <c r="BI30">
        <v>17.18274516129032</v>
      </c>
      <c r="BJ30">
        <v>402.3937096774193</v>
      </c>
      <c r="BK30">
        <v>17.35264838709677</v>
      </c>
      <c r="BL30">
        <v>799.9821935483872</v>
      </c>
      <c r="BM30">
        <v>101.2243870967742</v>
      </c>
      <c r="BN30">
        <v>0.09980472580645161</v>
      </c>
      <c r="BO30">
        <v>25.28606451612903</v>
      </c>
      <c r="BP30">
        <v>25.03598387096774</v>
      </c>
      <c r="BQ30">
        <v>999.9000000000003</v>
      </c>
      <c r="BR30">
        <v>0</v>
      </c>
      <c r="BS30">
        <v>0</v>
      </c>
      <c r="BT30">
        <v>10003.36451612903</v>
      </c>
      <c r="BU30">
        <v>0</v>
      </c>
      <c r="BV30">
        <v>0.00152894</v>
      </c>
      <c r="BW30">
        <v>-1.238970967741935</v>
      </c>
      <c r="BX30">
        <v>410.9198387096775</v>
      </c>
      <c r="BY30">
        <v>412.0620967741935</v>
      </c>
      <c r="BZ30">
        <v>0.2831154193548387</v>
      </c>
      <c r="CA30">
        <v>404.9816451612903</v>
      </c>
      <c r="CB30">
        <v>17.18274516129032</v>
      </c>
      <c r="CC30">
        <v>1.767970967741936</v>
      </c>
      <c r="CD30">
        <v>1.739313225806451</v>
      </c>
      <c r="CE30">
        <v>15.50644516129032</v>
      </c>
      <c r="CF30">
        <v>15.25181612903226</v>
      </c>
      <c r="CG30">
        <v>999.9896129032257</v>
      </c>
      <c r="CH30">
        <v>0.9600097419354838</v>
      </c>
      <c r="CI30">
        <v>0.03999006129032259</v>
      </c>
      <c r="CJ30">
        <v>0</v>
      </c>
      <c r="CK30">
        <v>1.385</v>
      </c>
      <c r="CL30">
        <v>0</v>
      </c>
      <c r="CM30">
        <v>6175.856129032257</v>
      </c>
      <c r="CN30">
        <v>7946.866451612903</v>
      </c>
      <c r="CO30">
        <v>36.35254838709676</v>
      </c>
      <c r="CP30">
        <v>40.02196774193548</v>
      </c>
      <c r="CQ30">
        <v>37.79016129032258</v>
      </c>
      <c r="CR30">
        <v>38.95132258064515</v>
      </c>
      <c r="CS30">
        <v>36.69535483870967</v>
      </c>
      <c r="CT30">
        <v>960.0003225806453</v>
      </c>
      <c r="CU30">
        <v>39.98774193548388</v>
      </c>
      <c r="CV30">
        <v>0</v>
      </c>
      <c r="CW30">
        <v>1750959193.1</v>
      </c>
      <c r="CX30">
        <v>0</v>
      </c>
      <c r="CY30">
        <v>1750959192.6</v>
      </c>
      <c r="CZ30" t="s">
        <v>398</v>
      </c>
      <c r="DA30">
        <v>1750959191.6</v>
      </c>
      <c r="DB30">
        <v>1750959192.6</v>
      </c>
      <c r="DC30">
        <v>14</v>
      </c>
      <c r="DD30">
        <v>-0.041</v>
      </c>
      <c r="DE30">
        <v>0.004</v>
      </c>
      <c r="DF30">
        <v>1.308</v>
      </c>
      <c r="DG30">
        <v>0.108</v>
      </c>
      <c r="DH30">
        <v>405</v>
      </c>
      <c r="DI30">
        <v>17</v>
      </c>
      <c r="DJ30">
        <v>0.21</v>
      </c>
      <c r="DK30">
        <v>0.14</v>
      </c>
      <c r="DL30">
        <v>-1.23831675</v>
      </c>
      <c r="DM30">
        <v>-0.07057564727954775</v>
      </c>
      <c r="DN30">
        <v>0.02801708972997551</v>
      </c>
      <c r="DO30">
        <v>1</v>
      </c>
      <c r="DP30">
        <v>0.272921825</v>
      </c>
      <c r="DQ30">
        <v>0.175958735459663</v>
      </c>
      <c r="DR30">
        <v>0.01750123276070503</v>
      </c>
      <c r="DS30">
        <v>0</v>
      </c>
      <c r="DT30">
        <v>1</v>
      </c>
      <c r="DU30">
        <v>2</v>
      </c>
      <c r="DV30" t="s">
        <v>355</v>
      </c>
      <c r="DW30">
        <v>3.44969</v>
      </c>
      <c r="DX30">
        <v>2.78091</v>
      </c>
      <c r="DY30">
        <v>0.0973286</v>
      </c>
      <c r="DZ30">
        <v>0.09775060000000001</v>
      </c>
      <c r="EA30">
        <v>0.0953722</v>
      </c>
      <c r="EB30">
        <v>0.0937008</v>
      </c>
      <c r="EC30">
        <v>27221.4</v>
      </c>
      <c r="ED30">
        <v>30979.6</v>
      </c>
      <c r="EE30">
        <v>29289.5</v>
      </c>
      <c r="EF30">
        <v>34921.4</v>
      </c>
      <c r="EG30">
        <v>30647.7</v>
      </c>
      <c r="EH30">
        <v>39280.8</v>
      </c>
      <c r="EI30">
        <v>36065.4</v>
      </c>
      <c r="EJ30">
        <v>46216.3</v>
      </c>
      <c r="EK30">
        <v>2.4294</v>
      </c>
      <c r="EL30">
        <v>2.25952</v>
      </c>
      <c r="EM30">
        <v>0.100452</v>
      </c>
      <c r="EN30">
        <v>0</v>
      </c>
      <c r="EO30">
        <v>23.4119</v>
      </c>
      <c r="EP30">
        <v>999.9</v>
      </c>
      <c r="EQ30">
        <v>61.4</v>
      </c>
      <c r="ER30">
        <v>25.2</v>
      </c>
      <c r="ES30">
        <v>19.5166</v>
      </c>
      <c r="ET30">
        <v>61.8646</v>
      </c>
      <c r="EU30">
        <v>25.6571</v>
      </c>
      <c r="EV30">
        <v>2</v>
      </c>
      <c r="EW30">
        <v>-0.311987</v>
      </c>
      <c r="EX30">
        <v>0</v>
      </c>
      <c r="EY30">
        <v>20.2961</v>
      </c>
      <c r="EZ30">
        <v>5.2098</v>
      </c>
      <c r="FA30">
        <v>11.968</v>
      </c>
      <c r="FB30">
        <v>4.9906</v>
      </c>
      <c r="FC30">
        <v>3.2717</v>
      </c>
      <c r="FD30">
        <v>3116.8</v>
      </c>
      <c r="FE30">
        <v>9999</v>
      </c>
      <c r="FF30">
        <v>9999</v>
      </c>
      <c r="FG30">
        <v>999.9</v>
      </c>
      <c r="FH30">
        <v>4.97261</v>
      </c>
      <c r="FI30">
        <v>1.86264</v>
      </c>
      <c r="FJ30">
        <v>1.86435</v>
      </c>
      <c r="FK30">
        <v>1.86279</v>
      </c>
      <c r="FL30">
        <v>1.86279</v>
      </c>
      <c r="FM30">
        <v>1.8634</v>
      </c>
      <c r="FN30">
        <v>1.85989</v>
      </c>
      <c r="FO30">
        <v>1.8627</v>
      </c>
      <c r="FP30">
        <v>0</v>
      </c>
      <c r="FQ30">
        <v>0</v>
      </c>
      <c r="FR30">
        <v>0</v>
      </c>
      <c r="FS30">
        <v>0</v>
      </c>
      <c r="FT30" t="s">
        <v>356</v>
      </c>
      <c r="FU30" t="s">
        <v>357</v>
      </c>
      <c r="FV30" t="s">
        <v>358</v>
      </c>
      <c r="FW30" t="s">
        <v>358</v>
      </c>
      <c r="FX30" t="s">
        <v>358</v>
      </c>
      <c r="FY30" t="s">
        <v>358</v>
      </c>
      <c r="FZ30">
        <v>0</v>
      </c>
      <c r="GA30">
        <v>100</v>
      </c>
      <c r="GB30">
        <v>100</v>
      </c>
      <c r="GC30">
        <v>1.308</v>
      </c>
      <c r="GD30">
        <v>0.108</v>
      </c>
      <c r="GE30">
        <v>1.632001505292205</v>
      </c>
      <c r="GF30">
        <v>-0.001033730503750798</v>
      </c>
      <c r="GG30">
        <v>9.120241388950126E-07</v>
      </c>
      <c r="GH30">
        <v>-2.246115299815222E-10</v>
      </c>
      <c r="GI30">
        <v>-0.1020402871493204</v>
      </c>
      <c r="GJ30">
        <v>-0.01814858093373864</v>
      </c>
      <c r="GK30">
        <v>0.002091959988359369</v>
      </c>
      <c r="GL30">
        <v>-1.90871700788604E-05</v>
      </c>
      <c r="GM30">
        <v>2</v>
      </c>
      <c r="GN30">
        <v>2210</v>
      </c>
      <c r="GO30">
        <v>1</v>
      </c>
      <c r="GP30">
        <v>26</v>
      </c>
      <c r="GQ30">
        <v>1.7</v>
      </c>
      <c r="GR30">
        <v>1.7</v>
      </c>
      <c r="GS30">
        <v>1.26465</v>
      </c>
      <c r="GT30">
        <v>2.35474</v>
      </c>
      <c r="GU30">
        <v>2.34741</v>
      </c>
      <c r="GV30">
        <v>2.73438</v>
      </c>
      <c r="GW30">
        <v>2.39868</v>
      </c>
      <c r="GX30">
        <v>2.29858</v>
      </c>
      <c r="GY30">
        <v>30.0932</v>
      </c>
      <c r="GZ30">
        <v>16.0233</v>
      </c>
      <c r="HA30">
        <v>18</v>
      </c>
      <c r="HB30">
        <v>733.827</v>
      </c>
      <c r="HC30">
        <v>659.556</v>
      </c>
      <c r="HD30">
        <v>24.4248</v>
      </c>
      <c r="HE30">
        <v>23.4614</v>
      </c>
      <c r="HF30">
        <v>30.0002</v>
      </c>
      <c r="HG30">
        <v>23.3235</v>
      </c>
      <c r="HH30">
        <v>23.2788</v>
      </c>
      <c r="HI30">
        <v>25.3698</v>
      </c>
      <c r="HJ30">
        <v>18.9274</v>
      </c>
      <c r="HK30">
        <v>52.0824</v>
      </c>
      <c r="HL30">
        <v>-999.9</v>
      </c>
      <c r="HM30">
        <v>405</v>
      </c>
      <c r="HN30">
        <v>17.2336</v>
      </c>
      <c r="HO30">
        <v>100.579</v>
      </c>
      <c r="HP30">
        <v>100.922</v>
      </c>
    </row>
    <row r="31" spans="1:224">
      <c r="A31">
        <v>15</v>
      </c>
      <c r="B31">
        <v>1750959301.6</v>
      </c>
      <c r="C31">
        <v>2030.599999904633</v>
      </c>
      <c r="D31" t="s">
        <v>399</v>
      </c>
      <c r="E31" t="s">
        <v>400</v>
      </c>
      <c r="F31">
        <v>15</v>
      </c>
      <c r="G31">
        <v>1750959293.599999</v>
      </c>
      <c r="H31">
        <f>(I31)/1000</f>
        <v>0</v>
      </c>
      <c r="I31">
        <f>IF(BD31, AL31, AF31)</f>
        <v>0</v>
      </c>
      <c r="J31">
        <f>IF(BD31, AG31, AE31)</f>
        <v>0</v>
      </c>
      <c r="K31">
        <f>BF31 - IF(AS31&gt;1, J31*AZ31*100.0/(AU31), 0)</f>
        <v>0</v>
      </c>
      <c r="L31">
        <f>((R31-H31/2)*K31-J31)/(R31+H31/2)</f>
        <v>0</v>
      </c>
      <c r="M31">
        <f>L31*(BM31+BN31)/1000.0</f>
        <v>0</v>
      </c>
      <c r="N31">
        <f>(BF31 - IF(AS31&gt;1, J31*AZ31*100.0/(AU31), 0))*(BM31+BN31)/1000.0</f>
        <v>0</v>
      </c>
      <c r="O31">
        <f>2.0/((1/Q31-1/P31)+SIGN(Q31)*SQRT((1/Q31-1/P31)*(1/Q31-1/P31) + 4*BA31/((BA31+1)*(BA31+1))*(2*1/Q31*1/P31-1/P31*1/P31)))</f>
        <v>0</v>
      </c>
      <c r="P31">
        <f>IF(LEFT(BB31,1)&lt;&gt;"0",IF(LEFT(BB31,1)="1",3.0,BC31),$D$5+$E$5*(BT31*BM31/($K$5*1000))+$F$5*(BT31*BM31/($K$5*1000))*MAX(MIN(AZ31,$J$5),$I$5)*MAX(MIN(AZ31,$J$5),$I$5)+$G$5*MAX(MIN(AZ31,$J$5),$I$5)*(BT31*BM31/($K$5*1000))+$H$5*(BT31*BM31/($K$5*1000))*(BT31*BM31/($K$5*1000)))</f>
        <v>0</v>
      </c>
      <c r="Q31">
        <f>H31*(1000-(1000*0.61365*exp(17.502*U31/(240.97+U31))/(BM31+BN31)+BH31)/2)/(1000*0.61365*exp(17.502*U31/(240.97+U31))/(BM31+BN31)-BH31)</f>
        <v>0</v>
      </c>
      <c r="R31">
        <f>1/((BA31+1)/(O31/1.6)+1/(P31/1.37)) + BA31/((BA31+1)/(O31/1.6) + BA31/(P31/1.37))</f>
        <v>0</v>
      </c>
      <c r="S31">
        <f>(AV31*AY31)</f>
        <v>0</v>
      </c>
      <c r="T31">
        <f>(BO31+(S31+2*0.95*5.67E-8*(((BO31+$B$7)+273)^4-(BO31+273)^4)-44100*H31)/(1.84*29.3*P31+8*0.95*5.67E-8*(BO31+273)^3))</f>
        <v>0</v>
      </c>
      <c r="U31">
        <f>($C$7*BP31+$D$7*BQ31+$E$7*T31)</f>
        <v>0</v>
      </c>
      <c r="V31">
        <f>0.61365*exp(17.502*U31/(240.97+U31))</f>
        <v>0</v>
      </c>
      <c r="W31">
        <f>(X31/Y31*100)</f>
        <v>0</v>
      </c>
      <c r="X31">
        <f>BH31*(BM31+BN31)/1000</f>
        <v>0</v>
      </c>
      <c r="Y31">
        <f>0.61365*exp(17.502*BO31/(240.97+BO31))</f>
        <v>0</v>
      </c>
      <c r="Z31">
        <f>(V31-BH31*(BM31+BN31)/1000)</f>
        <v>0</v>
      </c>
      <c r="AA31">
        <f>(-H31*44100)</f>
        <v>0</v>
      </c>
      <c r="AB31">
        <f>2*29.3*P31*0.92*(BO31-U31)</f>
        <v>0</v>
      </c>
      <c r="AC31">
        <f>2*0.95*5.67E-8*(((BO31+$B$7)+273)^4-(U31+273)^4)</f>
        <v>0</v>
      </c>
      <c r="AD31">
        <f>S31+AC31+AA31+AB31</f>
        <v>0</v>
      </c>
      <c r="AE31">
        <f>BL31*AS31*(BG31-BF31*(1000-AS31*BI31)/(1000-AS31*BH31))/(100*AZ31)</f>
        <v>0</v>
      </c>
      <c r="AF31">
        <f>1000*BL31*AS31*(BH31-BI31)/(100*AZ31*(1000-AS31*BH31))</f>
        <v>0</v>
      </c>
      <c r="AG31">
        <f>(AH31 - AI31 - BM31*1E3/(8.314*(BO31+273.15)) * AK31/BL31 * AJ31) * BL31/(100*AZ31) * (1000 - BI31)/1000</f>
        <v>0</v>
      </c>
      <c r="AH31">
        <v>412.0265177697861</v>
      </c>
      <c r="AI31">
        <v>408.1772787878787</v>
      </c>
      <c r="AJ31">
        <v>-0.00136775519342802</v>
      </c>
      <c r="AK31">
        <v>66.95300849679792</v>
      </c>
      <c r="AL31">
        <f>(AN31 - AM31 + BM31*1E3/(8.314*(BO31+273.15)) * AP31/BL31 * AO31) * BL31/(100*AZ31) * 1000/(1000 - AN31)</f>
        <v>0</v>
      </c>
      <c r="AM31">
        <v>17.07610221752497</v>
      </c>
      <c r="AN31">
        <v>17.71038303030303</v>
      </c>
      <c r="AO31">
        <v>0.0001248718300223656</v>
      </c>
      <c r="AP31">
        <v>79.18712270522865</v>
      </c>
      <c r="AQ31">
        <v>583</v>
      </c>
      <c r="AR31">
        <v>73</v>
      </c>
      <c r="AS31">
        <f>IF(AQ31*$H$13&gt;=AU31,1.0,(AU31/(AU31-AQ31*$H$13)))</f>
        <v>0</v>
      </c>
      <c r="AT31">
        <f>(AS31-1)*100</f>
        <v>0</v>
      </c>
      <c r="AU31">
        <f>MAX(0,($B$13+$C$13*BT31)/(1+$D$13*BT31)*BM31/(BO31+273)*$E$13)</f>
        <v>0</v>
      </c>
      <c r="AV31">
        <f>$B$11*BU31+$C$11*BV31+$F$11*CG31*(1-CJ31)</f>
        <v>0</v>
      </c>
      <c r="AW31">
        <f>AV31*AX31</f>
        <v>0</v>
      </c>
      <c r="AX31">
        <f>($B$11*$D$9+$C$11*$D$9+$F$11*((CT31+CL31)/MAX(CT31+CL31+CU31, 0.1)*$I$9+CU31/MAX(CT31+CL31+CU31, 0.1)*$J$9))/($B$11+$C$11+$F$11)</f>
        <v>0</v>
      </c>
      <c r="AY31">
        <f>($B$11*$K$9+$C$11*$K$9+$F$11*((CT31+CL31)/MAX(CT31+CL31+CU31, 0.1)*$P$9+CU31/MAX(CT31+CL31+CU31, 0.1)*$Q$9))/($B$11+$C$11+$F$11)</f>
        <v>0</v>
      </c>
      <c r="AZ31">
        <v>6</v>
      </c>
      <c r="BA31">
        <v>0.5</v>
      </c>
      <c r="BB31" t="s">
        <v>353</v>
      </c>
      <c r="BC31">
        <v>2</v>
      </c>
      <c r="BD31" t="b">
        <v>0</v>
      </c>
      <c r="BE31">
        <v>1750959293.599999</v>
      </c>
      <c r="BF31">
        <v>401.0138387096774</v>
      </c>
      <c r="BG31">
        <v>404.9942580645161</v>
      </c>
      <c r="BH31">
        <v>17.69026774193548</v>
      </c>
      <c r="BI31">
        <v>17.06774516129033</v>
      </c>
      <c r="BJ31">
        <v>399.6728387096774</v>
      </c>
      <c r="BK31">
        <v>17.58926774193548</v>
      </c>
      <c r="BL31">
        <v>800.0172903225805</v>
      </c>
      <c r="BM31">
        <v>101.2252903225806</v>
      </c>
      <c r="BN31">
        <v>0.1001018580645161</v>
      </c>
      <c r="BO31">
        <v>25.55124193548387</v>
      </c>
      <c r="BP31">
        <v>25.14643870967742</v>
      </c>
      <c r="BQ31">
        <v>999.9000000000003</v>
      </c>
      <c r="BR31">
        <v>0</v>
      </c>
      <c r="BS31">
        <v>0</v>
      </c>
      <c r="BT31">
        <v>10009.35677419355</v>
      </c>
      <c r="BU31">
        <v>0</v>
      </c>
      <c r="BV31">
        <v>0.00152894</v>
      </c>
      <c r="BW31">
        <v>-4.01216741935484</v>
      </c>
      <c r="BX31">
        <v>408.2136774193548</v>
      </c>
      <c r="BY31">
        <v>412.0266129032259</v>
      </c>
      <c r="BZ31">
        <v>0.6477534516129031</v>
      </c>
      <c r="CA31">
        <v>404.9942580645161</v>
      </c>
      <c r="CB31">
        <v>17.06774516129033</v>
      </c>
      <c r="CC31">
        <v>1.793256774193549</v>
      </c>
      <c r="CD31">
        <v>1.727687096774193</v>
      </c>
      <c r="CE31">
        <v>15.72811935483871</v>
      </c>
      <c r="CF31">
        <v>15.14746129032258</v>
      </c>
      <c r="CG31">
        <v>999.9736451612903</v>
      </c>
      <c r="CH31">
        <v>0.9599979354838708</v>
      </c>
      <c r="CI31">
        <v>0.04000249677419355</v>
      </c>
      <c r="CJ31">
        <v>0</v>
      </c>
      <c r="CK31">
        <v>0.7291935483870967</v>
      </c>
      <c r="CL31">
        <v>0</v>
      </c>
      <c r="CM31">
        <v>8350.22806451613</v>
      </c>
      <c r="CN31">
        <v>7946.694516129033</v>
      </c>
      <c r="CO31">
        <v>37.7074193548387</v>
      </c>
      <c r="CP31">
        <v>41.73154838709675</v>
      </c>
      <c r="CQ31">
        <v>39.17722580645161</v>
      </c>
      <c r="CR31">
        <v>41.21751612903224</v>
      </c>
      <c r="CS31">
        <v>38.04416129032258</v>
      </c>
      <c r="CT31">
        <v>959.9725806451613</v>
      </c>
      <c r="CU31">
        <v>40.00129032258064</v>
      </c>
      <c r="CV31">
        <v>0</v>
      </c>
      <c r="CW31">
        <v>1750959319.1</v>
      </c>
      <c r="CX31">
        <v>0</v>
      </c>
      <c r="CY31">
        <v>1750959325.1</v>
      </c>
      <c r="CZ31" t="s">
        <v>401</v>
      </c>
      <c r="DA31">
        <v>1750959325.1</v>
      </c>
      <c r="DB31">
        <v>1750959319.1</v>
      </c>
      <c r="DC31">
        <v>15</v>
      </c>
      <c r="DD31">
        <v>0.033</v>
      </c>
      <c r="DE31">
        <v>-0.003</v>
      </c>
      <c r="DF31">
        <v>1.341</v>
      </c>
      <c r="DG31">
        <v>0.101</v>
      </c>
      <c r="DH31">
        <v>405</v>
      </c>
      <c r="DI31">
        <v>17</v>
      </c>
      <c r="DJ31">
        <v>0.52</v>
      </c>
      <c r="DK31">
        <v>0.15</v>
      </c>
      <c r="DL31">
        <v>-4.00204825</v>
      </c>
      <c r="DM31">
        <v>-0.1934052157598406</v>
      </c>
      <c r="DN31">
        <v>0.03108563220263505</v>
      </c>
      <c r="DO31">
        <v>0</v>
      </c>
      <c r="DP31">
        <v>0.662704475</v>
      </c>
      <c r="DQ31">
        <v>-0.3270915534709187</v>
      </c>
      <c r="DR31">
        <v>0.03343661035301538</v>
      </c>
      <c r="DS31">
        <v>0</v>
      </c>
      <c r="DT31">
        <v>0</v>
      </c>
      <c r="DU31">
        <v>2</v>
      </c>
      <c r="DV31" t="s">
        <v>362</v>
      </c>
      <c r="DW31">
        <v>3.44931</v>
      </c>
      <c r="DX31">
        <v>2.78017</v>
      </c>
      <c r="DY31">
        <v>0.09679459999999999</v>
      </c>
      <c r="DZ31">
        <v>0.09773950000000001</v>
      </c>
      <c r="EA31">
        <v>0.0961708</v>
      </c>
      <c r="EB31">
        <v>0.0932533</v>
      </c>
      <c r="EC31">
        <v>27234</v>
      </c>
      <c r="ED31">
        <v>30975.9</v>
      </c>
      <c r="EE31">
        <v>29286.1</v>
      </c>
      <c r="EF31">
        <v>34917.2</v>
      </c>
      <c r="EG31">
        <v>30617.2</v>
      </c>
      <c r="EH31">
        <v>39295.5</v>
      </c>
      <c r="EI31">
        <v>36061.7</v>
      </c>
      <c r="EJ31">
        <v>46210.6</v>
      </c>
      <c r="EK31">
        <v>1.33267</v>
      </c>
      <c r="EL31">
        <v>2.25738</v>
      </c>
      <c r="EM31">
        <v>0.0885502</v>
      </c>
      <c r="EN31">
        <v>0</v>
      </c>
      <c r="EO31">
        <v>23.7281</v>
      </c>
      <c r="EP31">
        <v>999.9</v>
      </c>
      <c r="EQ31">
        <v>61.7</v>
      </c>
      <c r="ER31">
        <v>25.3</v>
      </c>
      <c r="ES31">
        <v>19.7297</v>
      </c>
      <c r="ET31">
        <v>61.6846</v>
      </c>
      <c r="EU31">
        <v>25.8534</v>
      </c>
      <c r="EV31">
        <v>2</v>
      </c>
      <c r="EW31">
        <v>-0.306202</v>
      </c>
      <c r="EX31">
        <v>0</v>
      </c>
      <c r="EY31">
        <v>20.2953</v>
      </c>
      <c r="EZ31">
        <v>5.2098</v>
      </c>
      <c r="FA31">
        <v>11.968</v>
      </c>
      <c r="FB31">
        <v>4.98985</v>
      </c>
      <c r="FC31">
        <v>3.27132</v>
      </c>
      <c r="FD31">
        <v>3120.7</v>
      </c>
      <c r="FE31">
        <v>9999</v>
      </c>
      <c r="FF31">
        <v>9999</v>
      </c>
      <c r="FG31">
        <v>999.9</v>
      </c>
      <c r="FH31">
        <v>4.9726</v>
      </c>
      <c r="FI31">
        <v>1.86264</v>
      </c>
      <c r="FJ31">
        <v>1.8644</v>
      </c>
      <c r="FK31">
        <v>1.86279</v>
      </c>
      <c r="FL31">
        <v>1.86279</v>
      </c>
      <c r="FM31">
        <v>1.8634</v>
      </c>
      <c r="FN31">
        <v>1.85989</v>
      </c>
      <c r="FO31">
        <v>1.86268</v>
      </c>
      <c r="FP31">
        <v>0</v>
      </c>
      <c r="FQ31">
        <v>0</v>
      </c>
      <c r="FR31">
        <v>0</v>
      </c>
      <c r="FS31">
        <v>0</v>
      </c>
      <c r="FT31" t="s">
        <v>356</v>
      </c>
      <c r="FU31" t="s">
        <v>357</v>
      </c>
      <c r="FV31" t="s">
        <v>358</v>
      </c>
      <c r="FW31" t="s">
        <v>358</v>
      </c>
      <c r="FX31" t="s">
        <v>358</v>
      </c>
      <c r="FY31" t="s">
        <v>358</v>
      </c>
      <c r="FZ31">
        <v>0</v>
      </c>
      <c r="GA31">
        <v>100</v>
      </c>
      <c r="GB31">
        <v>100</v>
      </c>
      <c r="GC31">
        <v>1.341</v>
      </c>
      <c r="GD31">
        <v>0.101</v>
      </c>
      <c r="GE31">
        <v>1.590954681432837</v>
      </c>
      <c r="GF31">
        <v>-0.001033730503750798</v>
      </c>
      <c r="GG31">
        <v>9.120241388950126E-07</v>
      </c>
      <c r="GH31">
        <v>-2.246115299815222E-10</v>
      </c>
      <c r="GI31">
        <v>-0.09789059550959237</v>
      </c>
      <c r="GJ31">
        <v>-0.01814858093373864</v>
      </c>
      <c r="GK31">
        <v>0.002091959988359369</v>
      </c>
      <c r="GL31">
        <v>-1.90871700788604E-05</v>
      </c>
      <c r="GM31">
        <v>2</v>
      </c>
      <c r="GN31">
        <v>2210</v>
      </c>
      <c r="GO31">
        <v>1</v>
      </c>
      <c r="GP31">
        <v>26</v>
      </c>
      <c r="GQ31">
        <v>1.8</v>
      </c>
      <c r="GR31">
        <v>1.8</v>
      </c>
      <c r="GS31">
        <v>1.26587</v>
      </c>
      <c r="GT31">
        <v>2.3584</v>
      </c>
      <c r="GU31">
        <v>2.34741</v>
      </c>
      <c r="GV31">
        <v>2.73071</v>
      </c>
      <c r="GW31">
        <v>2.39868</v>
      </c>
      <c r="GX31">
        <v>2.26929</v>
      </c>
      <c r="GY31">
        <v>30.179</v>
      </c>
      <c r="GZ31">
        <v>16.0058</v>
      </c>
      <c r="HA31">
        <v>18</v>
      </c>
      <c r="HB31">
        <v>188.399</v>
      </c>
      <c r="HC31">
        <v>658.754</v>
      </c>
      <c r="HD31">
        <v>24.5818</v>
      </c>
      <c r="HE31">
        <v>23.5473</v>
      </c>
      <c r="HF31">
        <v>30.0004</v>
      </c>
      <c r="HG31">
        <v>23.4411</v>
      </c>
      <c r="HH31">
        <v>23.3537</v>
      </c>
      <c r="HI31">
        <v>25.3805</v>
      </c>
      <c r="HJ31">
        <v>20.7157</v>
      </c>
      <c r="HK31">
        <v>56.1427</v>
      </c>
      <c r="HL31">
        <v>-999.9</v>
      </c>
      <c r="HM31">
        <v>405</v>
      </c>
      <c r="HN31">
        <v>17.2129</v>
      </c>
      <c r="HO31">
        <v>100.568</v>
      </c>
      <c r="HP31">
        <v>100.91</v>
      </c>
    </row>
    <row r="32" spans="1:224">
      <c r="A32">
        <v>16</v>
      </c>
      <c r="B32">
        <v>1750959430.1</v>
      </c>
      <c r="C32">
        <v>2159.099999904633</v>
      </c>
      <c r="D32" t="s">
        <v>402</v>
      </c>
      <c r="E32" t="s">
        <v>403</v>
      </c>
      <c r="F32">
        <v>15</v>
      </c>
      <c r="G32">
        <v>1750959422.099999</v>
      </c>
      <c r="H32">
        <f>(I32)/1000</f>
        <v>0</v>
      </c>
      <c r="I32">
        <f>IF(BD32, AL32, AF32)</f>
        <v>0</v>
      </c>
      <c r="J32">
        <f>IF(BD32, AG32, AE32)</f>
        <v>0</v>
      </c>
      <c r="K32">
        <f>BF32 - IF(AS32&gt;1, J32*AZ32*100.0/(AU32), 0)</f>
        <v>0</v>
      </c>
      <c r="L32">
        <f>((R32-H32/2)*K32-J32)/(R32+H32/2)</f>
        <v>0</v>
      </c>
      <c r="M32">
        <f>L32*(BM32+BN32)/1000.0</f>
        <v>0</v>
      </c>
      <c r="N32">
        <f>(BF32 - IF(AS32&gt;1, J32*AZ32*100.0/(AU32), 0))*(BM32+BN32)/1000.0</f>
        <v>0</v>
      </c>
      <c r="O32">
        <f>2.0/((1/Q32-1/P32)+SIGN(Q32)*SQRT((1/Q32-1/P32)*(1/Q32-1/P32) + 4*BA32/((BA32+1)*(BA32+1))*(2*1/Q32*1/P32-1/P32*1/P32)))</f>
        <v>0</v>
      </c>
      <c r="P32">
        <f>IF(LEFT(BB32,1)&lt;&gt;"0",IF(LEFT(BB32,1)="1",3.0,BC32),$D$5+$E$5*(BT32*BM32/($K$5*1000))+$F$5*(BT32*BM32/($K$5*1000))*MAX(MIN(AZ32,$J$5),$I$5)*MAX(MIN(AZ32,$J$5),$I$5)+$G$5*MAX(MIN(AZ32,$J$5),$I$5)*(BT32*BM32/($K$5*1000))+$H$5*(BT32*BM32/($K$5*1000))*(BT32*BM32/($K$5*1000)))</f>
        <v>0</v>
      </c>
      <c r="Q32">
        <f>H32*(1000-(1000*0.61365*exp(17.502*U32/(240.97+U32))/(BM32+BN32)+BH32)/2)/(1000*0.61365*exp(17.502*U32/(240.97+U32))/(BM32+BN32)-BH32)</f>
        <v>0</v>
      </c>
      <c r="R32">
        <f>1/((BA32+1)/(O32/1.6)+1/(P32/1.37)) + BA32/((BA32+1)/(O32/1.6) + BA32/(P32/1.37))</f>
        <v>0</v>
      </c>
      <c r="S32">
        <f>(AV32*AY32)</f>
        <v>0</v>
      </c>
      <c r="T32">
        <f>(BO32+(S32+2*0.95*5.67E-8*(((BO32+$B$7)+273)^4-(BO32+273)^4)-44100*H32)/(1.84*29.3*P32+8*0.95*5.67E-8*(BO32+273)^3))</f>
        <v>0</v>
      </c>
      <c r="U32">
        <f>($C$7*BP32+$D$7*BQ32+$E$7*T32)</f>
        <v>0</v>
      </c>
      <c r="V32">
        <f>0.61365*exp(17.502*U32/(240.97+U32))</f>
        <v>0</v>
      </c>
      <c r="W32">
        <f>(X32/Y32*100)</f>
        <v>0</v>
      </c>
      <c r="X32">
        <f>BH32*(BM32+BN32)/1000</f>
        <v>0</v>
      </c>
      <c r="Y32">
        <f>0.61365*exp(17.502*BO32/(240.97+BO32))</f>
        <v>0</v>
      </c>
      <c r="Z32">
        <f>(V32-BH32*(BM32+BN32)/1000)</f>
        <v>0</v>
      </c>
      <c r="AA32">
        <f>(-H32*44100)</f>
        <v>0</v>
      </c>
      <c r="AB32">
        <f>2*29.3*P32*0.92*(BO32-U32)</f>
        <v>0</v>
      </c>
      <c r="AC32">
        <f>2*0.95*5.67E-8*(((BO32+$B$7)+273)^4-(U32+273)^4)</f>
        <v>0</v>
      </c>
      <c r="AD32">
        <f>S32+AC32+AA32+AB32</f>
        <v>0</v>
      </c>
      <c r="AE32">
        <f>BL32*AS32*(BG32-BF32*(1000-AS32*BI32)/(1000-AS32*BH32))/(100*AZ32)</f>
        <v>0</v>
      </c>
      <c r="AF32">
        <f>1000*BL32*AS32*(BH32-BI32)/(100*AZ32*(1000-AS32*BH32))</f>
        <v>0</v>
      </c>
      <c r="AG32">
        <f>(AH32 - AI32 - BM32*1E3/(8.314*(BO32+273.15)) * AK32/BL32 * AJ32) * BL32/(100*AZ32) * (1000 - BI32)/1000</f>
        <v>0</v>
      </c>
      <c r="AH32">
        <v>412.1802168755427</v>
      </c>
      <c r="AI32">
        <v>408.3076666666664</v>
      </c>
      <c r="AJ32">
        <v>-0.0002843937081339876</v>
      </c>
      <c r="AK32">
        <v>66.95478621720125</v>
      </c>
      <c r="AL32">
        <f>(AN32 - AM32 + BM32*1E3/(8.314*(BO32+273.15)) * AP32/BL32 * AO32) * BL32/(100*AZ32) * 1000/(1000 - AN32)</f>
        <v>0</v>
      </c>
      <c r="AM32">
        <v>17.41841356937604</v>
      </c>
      <c r="AN32">
        <v>18.07866484848485</v>
      </c>
      <c r="AO32">
        <v>0.0001332267003331125</v>
      </c>
      <c r="AP32">
        <v>79.26435558613431</v>
      </c>
      <c r="AQ32">
        <v>178</v>
      </c>
      <c r="AR32">
        <v>22</v>
      </c>
      <c r="AS32">
        <f>IF(AQ32*$H$13&gt;=AU32,1.0,(AU32/(AU32-AQ32*$H$13)))</f>
        <v>0</v>
      </c>
      <c r="AT32">
        <f>(AS32-1)*100</f>
        <v>0</v>
      </c>
      <c r="AU32">
        <f>MAX(0,($B$13+$C$13*BT32)/(1+$D$13*BT32)*BM32/(BO32+273)*$E$13)</f>
        <v>0</v>
      </c>
      <c r="AV32">
        <f>$B$11*BU32+$C$11*BV32+$F$11*CG32*(1-CJ32)</f>
        <v>0</v>
      </c>
      <c r="AW32">
        <f>AV32*AX32</f>
        <v>0</v>
      </c>
      <c r="AX32">
        <f>($B$11*$D$9+$C$11*$D$9+$F$11*((CT32+CL32)/MAX(CT32+CL32+CU32, 0.1)*$I$9+CU32/MAX(CT32+CL32+CU32, 0.1)*$J$9))/($B$11+$C$11+$F$11)</f>
        <v>0</v>
      </c>
      <c r="AY32">
        <f>($B$11*$K$9+$C$11*$K$9+$F$11*((CT32+CL32)/MAX(CT32+CL32+CU32, 0.1)*$P$9+CU32/MAX(CT32+CL32+CU32, 0.1)*$Q$9))/($B$11+$C$11+$F$11)</f>
        <v>0</v>
      </c>
      <c r="AZ32">
        <v>6</v>
      </c>
      <c r="BA32">
        <v>0.5</v>
      </c>
      <c r="BB32" t="s">
        <v>353</v>
      </c>
      <c r="BC32">
        <v>2</v>
      </c>
      <c r="BD32" t="b">
        <v>0</v>
      </c>
      <c r="BE32">
        <v>1750959422.099999</v>
      </c>
      <c r="BF32">
        <v>400.9498064516129</v>
      </c>
      <c r="BG32">
        <v>404.9990967741936</v>
      </c>
      <c r="BH32">
        <v>18.03616774193549</v>
      </c>
      <c r="BI32">
        <v>17.41117741935484</v>
      </c>
      <c r="BJ32">
        <v>399.6068064516129</v>
      </c>
      <c r="BK32">
        <v>17.92616774193549</v>
      </c>
      <c r="BL32">
        <v>800.0193225806449</v>
      </c>
      <c r="BM32">
        <v>101.2205161290323</v>
      </c>
      <c r="BN32">
        <v>0.1003475967741936</v>
      </c>
      <c r="BO32">
        <v>25.86192903225807</v>
      </c>
      <c r="BP32">
        <v>25.51890967741935</v>
      </c>
      <c r="BQ32">
        <v>999.9000000000003</v>
      </c>
      <c r="BR32">
        <v>0</v>
      </c>
      <c r="BS32">
        <v>0</v>
      </c>
      <c r="BT32">
        <v>9988.527096774193</v>
      </c>
      <c r="BU32">
        <v>0</v>
      </c>
      <c r="BV32">
        <v>0.00152894</v>
      </c>
      <c r="BW32">
        <v>-4.049764516129033</v>
      </c>
      <c r="BX32">
        <v>408.3244193548387</v>
      </c>
      <c r="BY32">
        <v>412.1755161290323</v>
      </c>
      <c r="BZ32">
        <v>0.6506089032258064</v>
      </c>
      <c r="CA32">
        <v>404.9990967741936</v>
      </c>
      <c r="CB32">
        <v>17.41117741935484</v>
      </c>
      <c r="CC32">
        <v>1.828223870967742</v>
      </c>
      <c r="CD32">
        <v>1.762368064516129</v>
      </c>
      <c r="CE32">
        <v>16.03021612903226</v>
      </c>
      <c r="CF32">
        <v>15.45694838709677</v>
      </c>
      <c r="CG32">
        <v>1000.031193548387</v>
      </c>
      <c r="CH32">
        <v>0.9600119677419354</v>
      </c>
      <c r="CI32">
        <v>0.03998785161290324</v>
      </c>
      <c r="CJ32">
        <v>0</v>
      </c>
      <c r="CK32">
        <v>2.627903225806452</v>
      </c>
      <c r="CL32">
        <v>0</v>
      </c>
      <c r="CM32">
        <v>7644.482258064517</v>
      </c>
      <c r="CN32">
        <v>7947.204516129031</v>
      </c>
      <c r="CO32">
        <v>36.35458064516129</v>
      </c>
      <c r="CP32">
        <v>39.22761290322581</v>
      </c>
      <c r="CQ32">
        <v>37.73770967741936</v>
      </c>
      <c r="CR32">
        <v>38.45132258064515</v>
      </c>
      <c r="CS32">
        <v>36.78603225806451</v>
      </c>
      <c r="CT32">
        <v>960.0412903225807</v>
      </c>
      <c r="CU32">
        <v>39.98967741935484</v>
      </c>
      <c r="CV32">
        <v>0</v>
      </c>
      <c r="CW32">
        <v>1750959447.5</v>
      </c>
      <c r="CX32">
        <v>0</v>
      </c>
      <c r="CY32">
        <v>1750959452.1</v>
      </c>
      <c r="CZ32" t="s">
        <v>404</v>
      </c>
      <c r="DA32">
        <v>1750959452.1</v>
      </c>
      <c r="DB32">
        <v>1750959447.1</v>
      </c>
      <c r="DC32">
        <v>16</v>
      </c>
      <c r="DD32">
        <v>0.002</v>
      </c>
      <c r="DE32">
        <v>-0.003</v>
      </c>
      <c r="DF32">
        <v>1.343</v>
      </c>
      <c r="DG32">
        <v>0.11</v>
      </c>
      <c r="DH32">
        <v>405</v>
      </c>
      <c r="DI32">
        <v>17</v>
      </c>
      <c r="DJ32">
        <v>0.3</v>
      </c>
      <c r="DK32">
        <v>0.11</v>
      </c>
      <c r="DL32">
        <v>-4.033080731707317</v>
      </c>
      <c r="DM32">
        <v>-0.3446383275261346</v>
      </c>
      <c r="DN32">
        <v>0.03812092923586813</v>
      </c>
      <c r="DO32">
        <v>0</v>
      </c>
      <c r="DP32">
        <v>0.6509616585365854</v>
      </c>
      <c r="DQ32">
        <v>0.005283491289198898</v>
      </c>
      <c r="DR32">
        <v>0.002759984293077924</v>
      </c>
      <c r="DS32">
        <v>1</v>
      </c>
      <c r="DT32">
        <v>1</v>
      </c>
      <c r="DU32">
        <v>2</v>
      </c>
      <c r="DV32" t="s">
        <v>355</v>
      </c>
      <c r="DW32">
        <v>3.44973</v>
      </c>
      <c r="DX32">
        <v>2.78086</v>
      </c>
      <c r="DY32">
        <v>0.0967461</v>
      </c>
      <c r="DZ32">
        <v>0.0976834</v>
      </c>
      <c r="EA32">
        <v>0.097553</v>
      </c>
      <c r="EB32">
        <v>0.0945503</v>
      </c>
      <c r="EC32">
        <v>27225.9</v>
      </c>
      <c r="ED32">
        <v>30968.2</v>
      </c>
      <c r="EE32">
        <v>29276.5</v>
      </c>
      <c r="EF32">
        <v>34907.3</v>
      </c>
      <c r="EG32">
        <v>30559.6</v>
      </c>
      <c r="EH32">
        <v>39227.9</v>
      </c>
      <c r="EI32">
        <v>36049.2</v>
      </c>
      <c r="EJ32">
        <v>46196.9</v>
      </c>
      <c r="EK32">
        <v>2.24312</v>
      </c>
      <c r="EL32">
        <v>2.25213</v>
      </c>
      <c r="EM32">
        <v>0.0723451</v>
      </c>
      <c r="EN32">
        <v>0</v>
      </c>
      <c r="EO32">
        <v>24.3644</v>
      </c>
      <c r="EP32">
        <v>999.9</v>
      </c>
      <c r="EQ32">
        <v>62.1</v>
      </c>
      <c r="ER32">
        <v>25.4</v>
      </c>
      <c r="ES32">
        <v>19.9778</v>
      </c>
      <c r="ET32">
        <v>62.1046</v>
      </c>
      <c r="EU32">
        <v>25.653</v>
      </c>
      <c r="EV32">
        <v>2</v>
      </c>
      <c r="EW32">
        <v>-0.289566</v>
      </c>
      <c r="EX32">
        <v>0</v>
      </c>
      <c r="EY32">
        <v>20.2939</v>
      </c>
      <c r="EZ32">
        <v>5.2131</v>
      </c>
      <c r="FA32">
        <v>11.968</v>
      </c>
      <c r="FB32">
        <v>4.99105</v>
      </c>
      <c r="FC32">
        <v>3.272</v>
      </c>
      <c r="FD32">
        <v>3124.9</v>
      </c>
      <c r="FE32">
        <v>9999</v>
      </c>
      <c r="FF32">
        <v>9999</v>
      </c>
      <c r="FG32">
        <v>999.9</v>
      </c>
      <c r="FH32">
        <v>4.97261</v>
      </c>
      <c r="FI32">
        <v>1.86264</v>
      </c>
      <c r="FJ32">
        <v>1.86444</v>
      </c>
      <c r="FK32">
        <v>1.86284</v>
      </c>
      <c r="FL32">
        <v>1.86285</v>
      </c>
      <c r="FM32">
        <v>1.86342</v>
      </c>
      <c r="FN32">
        <v>1.8599</v>
      </c>
      <c r="FO32">
        <v>1.86275</v>
      </c>
      <c r="FP32">
        <v>0</v>
      </c>
      <c r="FQ32">
        <v>0</v>
      </c>
      <c r="FR32">
        <v>0</v>
      </c>
      <c r="FS32">
        <v>0</v>
      </c>
      <c r="FT32" t="s">
        <v>356</v>
      </c>
      <c r="FU32" t="s">
        <v>357</v>
      </c>
      <c r="FV32" t="s">
        <v>358</v>
      </c>
      <c r="FW32" t="s">
        <v>358</v>
      </c>
      <c r="FX32" t="s">
        <v>358</v>
      </c>
      <c r="FY32" t="s">
        <v>358</v>
      </c>
      <c r="FZ32">
        <v>0</v>
      </c>
      <c r="GA32">
        <v>100</v>
      </c>
      <c r="GB32">
        <v>100</v>
      </c>
      <c r="GC32">
        <v>1.343</v>
      </c>
      <c r="GD32">
        <v>0.11</v>
      </c>
      <c r="GE32">
        <v>1.624222037612202</v>
      </c>
      <c r="GF32">
        <v>-0.001033730503750798</v>
      </c>
      <c r="GG32">
        <v>9.120241388950126E-07</v>
      </c>
      <c r="GH32">
        <v>-2.246115299815222E-10</v>
      </c>
      <c r="GI32">
        <v>-0.1013334863632913</v>
      </c>
      <c r="GJ32">
        <v>-0.01814858093373864</v>
      </c>
      <c r="GK32">
        <v>0.002091959988359369</v>
      </c>
      <c r="GL32">
        <v>-1.90871700788604E-05</v>
      </c>
      <c r="GM32">
        <v>2</v>
      </c>
      <c r="GN32">
        <v>2210</v>
      </c>
      <c r="GO32">
        <v>1</v>
      </c>
      <c r="GP32">
        <v>26</v>
      </c>
      <c r="GQ32">
        <v>1.8</v>
      </c>
      <c r="GR32">
        <v>1.9</v>
      </c>
      <c r="GS32">
        <v>1.26587</v>
      </c>
      <c r="GT32">
        <v>2.3645</v>
      </c>
      <c r="GU32">
        <v>2.34741</v>
      </c>
      <c r="GV32">
        <v>2.73071</v>
      </c>
      <c r="GW32">
        <v>2.39868</v>
      </c>
      <c r="GX32">
        <v>2.25708</v>
      </c>
      <c r="GY32">
        <v>30.3939</v>
      </c>
      <c r="GZ32">
        <v>15.9795</v>
      </c>
      <c r="HA32">
        <v>18</v>
      </c>
      <c r="HB32">
        <v>600.4450000000001</v>
      </c>
      <c r="HC32">
        <v>656.881</v>
      </c>
      <c r="HD32">
        <v>24.905</v>
      </c>
      <c r="HE32">
        <v>23.7757</v>
      </c>
      <c r="HF32">
        <v>30.0006</v>
      </c>
      <c r="HG32">
        <v>23.5941</v>
      </c>
      <c r="HH32">
        <v>23.5431</v>
      </c>
      <c r="HI32">
        <v>25.3911</v>
      </c>
      <c r="HJ32">
        <v>20.3666</v>
      </c>
      <c r="HK32">
        <v>59.919</v>
      </c>
      <c r="HL32">
        <v>-999.9</v>
      </c>
      <c r="HM32">
        <v>405</v>
      </c>
      <c r="HN32">
        <v>17.4039</v>
      </c>
      <c r="HO32">
        <v>100.534</v>
      </c>
      <c r="HP32">
        <v>100.881</v>
      </c>
    </row>
    <row r="33" spans="1:224">
      <c r="A33">
        <v>17</v>
      </c>
      <c r="B33">
        <v>1750959557.6</v>
      </c>
      <c r="C33">
        <v>2286.599999904633</v>
      </c>
      <c r="D33" t="s">
        <v>405</v>
      </c>
      <c r="E33" t="s">
        <v>406</v>
      </c>
      <c r="F33">
        <v>15</v>
      </c>
      <c r="G33">
        <v>1750959549.849999</v>
      </c>
      <c r="H33">
        <f>(I33)/1000</f>
        <v>0</v>
      </c>
      <c r="I33">
        <f>IF(BD33, AL33, AF33)</f>
        <v>0</v>
      </c>
      <c r="J33">
        <f>IF(BD33, AG33, AE33)</f>
        <v>0</v>
      </c>
      <c r="K33">
        <f>BF33 - IF(AS33&gt;1, J33*AZ33*100.0/(AU33), 0)</f>
        <v>0</v>
      </c>
      <c r="L33">
        <f>((R33-H33/2)*K33-J33)/(R33+H33/2)</f>
        <v>0</v>
      </c>
      <c r="M33">
        <f>L33*(BM33+BN33)/1000.0</f>
        <v>0</v>
      </c>
      <c r="N33">
        <f>(BF33 - IF(AS33&gt;1, J33*AZ33*100.0/(AU33), 0))*(BM33+BN33)/1000.0</f>
        <v>0</v>
      </c>
      <c r="O33">
        <f>2.0/((1/Q33-1/P33)+SIGN(Q33)*SQRT((1/Q33-1/P33)*(1/Q33-1/P33) + 4*BA33/((BA33+1)*(BA33+1))*(2*1/Q33*1/P33-1/P33*1/P33)))</f>
        <v>0</v>
      </c>
      <c r="P33">
        <f>IF(LEFT(BB33,1)&lt;&gt;"0",IF(LEFT(BB33,1)="1",3.0,BC33),$D$5+$E$5*(BT33*BM33/($K$5*1000))+$F$5*(BT33*BM33/($K$5*1000))*MAX(MIN(AZ33,$J$5),$I$5)*MAX(MIN(AZ33,$J$5),$I$5)+$G$5*MAX(MIN(AZ33,$J$5),$I$5)*(BT33*BM33/($K$5*1000))+$H$5*(BT33*BM33/($K$5*1000))*(BT33*BM33/($K$5*1000)))</f>
        <v>0</v>
      </c>
      <c r="Q33">
        <f>H33*(1000-(1000*0.61365*exp(17.502*U33/(240.97+U33))/(BM33+BN33)+BH33)/2)/(1000*0.61365*exp(17.502*U33/(240.97+U33))/(BM33+BN33)-BH33)</f>
        <v>0</v>
      </c>
      <c r="R33">
        <f>1/((BA33+1)/(O33/1.6)+1/(P33/1.37)) + BA33/((BA33+1)/(O33/1.6) + BA33/(P33/1.37))</f>
        <v>0</v>
      </c>
      <c r="S33">
        <f>(AV33*AY33)</f>
        <v>0</v>
      </c>
      <c r="T33">
        <f>(BO33+(S33+2*0.95*5.67E-8*(((BO33+$B$7)+273)^4-(BO33+273)^4)-44100*H33)/(1.84*29.3*P33+8*0.95*5.67E-8*(BO33+273)^3))</f>
        <v>0</v>
      </c>
      <c r="U33">
        <f>($C$7*BP33+$D$7*BQ33+$E$7*T33)</f>
        <v>0</v>
      </c>
      <c r="V33">
        <f>0.61365*exp(17.502*U33/(240.97+U33))</f>
        <v>0</v>
      </c>
      <c r="W33">
        <f>(X33/Y33*100)</f>
        <v>0</v>
      </c>
      <c r="X33">
        <f>BH33*(BM33+BN33)/1000</f>
        <v>0</v>
      </c>
      <c r="Y33">
        <f>0.61365*exp(17.502*BO33/(240.97+BO33))</f>
        <v>0</v>
      </c>
      <c r="Z33">
        <f>(V33-BH33*(BM33+BN33)/1000)</f>
        <v>0</v>
      </c>
      <c r="AA33">
        <f>(-H33*44100)</f>
        <v>0</v>
      </c>
      <c r="AB33">
        <f>2*29.3*P33*0.92*(BO33-U33)</f>
        <v>0</v>
      </c>
      <c r="AC33">
        <f>2*0.95*5.67E-8*(((BO33+$B$7)+273)^4-(U33+273)^4)</f>
        <v>0</v>
      </c>
      <c r="AD33">
        <f>S33+AC33+AA33+AB33</f>
        <v>0</v>
      </c>
      <c r="AE33">
        <f>BL33*AS33*(BG33-BF33*(1000-AS33*BI33)/(1000-AS33*BH33))/(100*AZ33)</f>
        <v>0</v>
      </c>
      <c r="AF33">
        <f>1000*BL33*AS33*(BH33-BI33)/(100*AZ33*(1000-AS33*BH33))</f>
        <v>0</v>
      </c>
      <c r="AG33">
        <f>(AH33 - AI33 - BM33*1E3/(8.314*(BO33+273.15)) * AK33/BL33 * AJ33) * BL33/(100*AZ33) * (1000 - BI33)/1000</f>
        <v>0</v>
      </c>
      <c r="AH33">
        <v>412.307932579366</v>
      </c>
      <c r="AI33">
        <v>410.0642060606058</v>
      </c>
      <c r="AJ33">
        <v>0.006157757286965791</v>
      </c>
      <c r="AK33">
        <v>66.95463986230796</v>
      </c>
      <c r="AL33">
        <f>(AN33 - AM33 + BM33*1E3/(8.314*(BO33+273.15)) * AP33/BL33 * AO33) * BL33/(100*AZ33) * 1000/(1000 - AN33)</f>
        <v>0</v>
      </c>
      <c r="AM33">
        <v>17.73534423261051</v>
      </c>
      <c r="AN33">
        <v>18.4165418181818</v>
      </c>
      <c r="AO33">
        <v>0.0002132540577199844</v>
      </c>
      <c r="AP33">
        <v>79.26481760598439</v>
      </c>
      <c r="AQ33">
        <v>75</v>
      </c>
      <c r="AR33">
        <v>9</v>
      </c>
      <c r="AS33">
        <f>IF(AQ33*$H$13&gt;=AU33,1.0,(AU33/(AU33-AQ33*$H$13)))</f>
        <v>0</v>
      </c>
      <c r="AT33">
        <f>(AS33-1)*100</f>
        <v>0</v>
      </c>
      <c r="AU33">
        <f>MAX(0,($B$13+$C$13*BT33)/(1+$D$13*BT33)*BM33/(BO33+273)*$E$13)</f>
        <v>0</v>
      </c>
      <c r="AV33">
        <f>$B$11*BU33+$C$11*BV33+$F$11*CG33*(1-CJ33)</f>
        <v>0</v>
      </c>
      <c r="AW33">
        <f>AV33*AX33</f>
        <v>0</v>
      </c>
      <c r="AX33">
        <f>($B$11*$D$9+$C$11*$D$9+$F$11*((CT33+CL33)/MAX(CT33+CL33+CU33, 0.1)*$I$9+CU33/MAX(CT33+CL33+CU33, 0.1)*$J$9))/($B$11+$C$11+$F$11)</f>
        <v>0</v>
      </c>
      <c r="AY33">
        <f>($B$11*$K$9+$C$11*$K$9+$F$11*((CT33+CL33)/MAX(CT33+CL33+CU33, 0.1)*$P$9+CU33/MAX(CT33+CL33+CU33, 0.1)*$Q$9))/($B$11+$C$11+$F$11)</f>
        <v>0</v>
      </c>
      <c r="AZ33">
        <v>6</v>
      </c>
      <c r="BA33">
        <v>0.5</v>
      </c>
      <c r="BB33" t="s">
        <v>353</v>
      </c>
      <c r="BC33">
        <v>2</v>
      </c>
      <c r="BD33" t="b">
        <v>0</v>
      </c>
      <c r="BE33">
        <v>1750959549.849999</v>
      </c>
      <c r="BF33">
        <v>402.4216333333333</v>
      </c>
      <c r="BG33">
        <v>404.9898333333333</v>
      </c>
      <c r="BH33">
        <v>18.37229666666667</v>
      </c>
      <c r="BI33">
        <v>17.72454333333334</v>
      </c>
      <c r="BJ33">
        <v>401.1116333333333</v>
      </c>
      <c r="BK33">
        <v>18.25129666666667</v>
      </c>
      <c r="BL33">
        <v>799.9820333333333</v>
      </c>
      <c r="BM33">
        <v>101.2039333333333</v>
      </c>
      <c r="BN33">
        <v>0.1000751766666667</v>
      </c>
      <c r="BO33">
        <v>26.13197333333333</v>
      </c>
      <c r="BP33">
        <v>26.34608333333334</v>
      </c>
      <c r="BQ33">
        <v>999.9000000000002</v>
      </c>
      <c r="BR33">
        <v>0</v>
      </c>
      <c r="BS33">
        <v>0</v>
      </c>
      <c r="BT33">
        <v>9995.331666666667</v>
      </c>
      <c r="BU33">
        <v>0</v>
      </c>
      <c r="BV33">
        <v>0.00152894</v>
      </c>
      <c r="BW33">
        <v>-2.534616999999999</v>
      </c>
      <c r="BX33">
        <v>409.9977333333334</v>
      </c>
      <c r="BY33">
        <v>412.2976333333333</v>
      </c>
      <c r="BZ33">
        <v>0.6719699</v>
      </c>
      <c r="CA33">
        <v>404.9898333333333</v>
      </c>
      <c r="CB33">
        <v>17.72454333333334</v>
      </c>
      <c r="CC33">
        <v>1.861800666666667</v>
      </c>
      <c r="CD33">
        <v>1.793794666666667</v>
      </c>
      <c r="CE33">
        <v>16.31555666666667</v>
      </c>
      <c r="CF33">
        <v>15.73281666666667</v>
      </c>
      <c r="CG33">
        <v>999.9794999999999</v>
      </c>
      <c r="CH33">
        <v>0.9600030333333334</v>
      </c>
      <c r="CI33">
        <v>0.03999691000000001</v>
      </c>
      <c r="CJ33">
        <v>0</v>
      </c>
      <c r="CK33">
        <v>2.082333333333333</v>
      </c>
      <c r="CL33">
        <v>0</v>
      </c>
      <c r="CM33">
        <v>6859.571333333332</v>
      </c>
      <c r="CN33">
        <v>7946.763000000002</v>
      </c>
      <c r="CO33">
        <v>35.3164</v>
      </c>
      <c r="CP33">
        <v>38.78313333333334</v>
      </c>
      <c r="CQ33">
        <v>36.77686666666666</v>
      </c>
      <c r="CR33">
        <v>37.57056666666666</v>
      </c>
      <c r="CS33">
        <v>35.87053333333333</v>
      </c>
      <c r="CT33">
        <v>959.9833333333333</v>
      </c>
      <c r="CU33">
        <v>39.99566666666667</v>
      </c>
      <c r="CV33">
        <v>0</v>
      </c>
      <c r="CW33">
        <v>1750959574.7</v>
      </c>
      <c r="CX33">
        <v>0</v>
      </c>
      <c r="CY33">
        <v>1750959575.6</v>
      </c>
      <c r="CZ33" t="s">
        <v>407</v>
      </c>
      <c r="DA33">
        <v>1750959574.6</v>
      </c>
      <c r="DB33">
        <v>1750959575.6</v>
      </c>
      <c r="DC33">
        <v>17</v>
      </c>
      <c r="DD33">
        <v>-0.033</v>
      </c>
      <c r="DE33">
        <v>-0</v>
      </c>
      <c r="DF33">
        <v>1.31</v>
      </c>
      <c r="DG33">
        <v>0.121</v>
      </c>
      <c r="DH33">
        <v>405</v>
      </c>
      <c r="DI33">
        <v>18</v>
      </c>
      <c r="DJ33">
        <v>0.23</v>
      </c>
      <c r="DK33">
        <v>0.07000000000000001</v>
      </c>
      <c r="DL33">
        <v>-2.543776341463415</v>
      </c>
      <c r="DM33">
        <v>0.1267279442508698</v>
      </c>
      <c r="DN33">
        <v>0.02879298489733283</v>
      </c>
      <c r="DO33">
        <v>0</v>
      </c>
      <c r="DP33">
        <v>0.6674788048780488</v>
      </c>
      <c r="DQ33">
        <v>0.06905619512195021</v>
      </c>
      <c r="DR33">
        <v>0.007332668812454778</v>
      </c>
      <c r="DS33">
        <v>1</v>
      </c>
      <c r="DT33">
        <v>1</v>
      </c>
      <c r="DU33">
        <v>2</v>
      </c>
      <c r="DV33" t="s">
        <v>355</v>
      </c>
      <c r="DW33">
        <v>3.4499</v>
      </c>
      <c r="DX33">
        <v>2.78116</v>
      </c>
      <c r="DY33">
        <v>0.0969769</v>
      </c>
      <c r="DZ33">
        <v>0.0976239</v>
      </c>
      <c r="EA33">
        <v>0.09877900000000001</v>
      </c>
      <c r="EB33">
        <v>0.0956938</v>
      </c>
      <c r="EC33">
        <v>27211.8</v>
      </c>
      <c r="ED33">
        <v>30962.6</v>
      </c>
      <c r="EE33">
        <v>29269.6</v>
      </c>
      <c r="EF33">
        <v>34899.6</v>
      </c>
      <c r="EG33">
        <v>30510.3</v>
      </c>
      <c r="EH33">
        <v>39170</v>
      </c>
      <c r="EI33">
        <v>36040.4</v>
      </c>
      <c r="EJ33">
        <v>46186.9</v>
      </c>
      <c r="EK33">
        <v>2.41062</v>
      </c>
      <c r="EL33">
        <v>2.24835</v>
      </c>
      <c r="EM33">
        <v>0.107959</v>
      </c>
      <c r="EN33">
        <v>0</v>
      </c>
      <c r="EO33">
        <v>24.6107</v>
      </c>
      <c r="EP33">
        <v>999.9</v>
      </c>
      <c r="EQ33">
        <v>62.4</v>
      </c>
      <c r="ER33">
        <v>25.5</v>
      </c>
      <c r="ES33">
        <v>20.198</v>
      </c>
      <c r="ET33">
        <v>62.0947</v>
      </c>
      <c r="EU33">
        <v>25.5889</v>
      </c>
      <c r="EV33">
        <v>2</v>
      </c>
      <c r="EW33">
        <v>-0.275732</v>
      </c>
      <c r="EX33">
        <v>0</v>
      </c>
      <c r="EY33">
        <v>20.2955</v>
      </c>
      <c r="EZ33">
        <v>5.2107</v>
      </c>
      <c r="FA33">
        <v>11.968</v>
      </c>
      <c r="FB33">
        <v>4.99095</v>
      </c>
      <c r="FC33">
        <v>3.2717</v>
      </c>
      <c r="FD33">
        <v>3128.8</v>
      </c>
      <c r="FE33">
        <v>9999</v>
      </c>
      <c r="FF33">
        <v>9999</v>
      </c>
      <c r="FG33">
        <v>999.9</v>
      </c>
      <c r="FH33">
        <v>4.97263</v>
      </c>
      <c r="FI33">
        <v>1.86265</v>
      </c>
      <c r="FJ33">
        <v>1.86447</v>
      </c>
      <c r="FK33">
        <v>1.86293</v>
      </c>
      <c r="FL33">
        <v>1.86295</v>
      </c>
      <c r="FM33">
        <v>1.86354</v>
      </c>
      <c r="FN33">
        <v>1.85994</v>
      </c>
      <c r="FO33">
        <v>1.86279</v>
      </c>
      <c r="FP33">
        <v>0</v>
      </c>
      <c r="FQ33">
        <v>0</v>
      </c>
      <c r="FR33">
        <v>0</v>
      </c>
      <c r="FS33">
        <v>0</v>
      </c>
      <c r="FT33" t="s">
        <v>356</v>
      </c>
      <c r="FU33" t="s">
        <v>357</v>
      </c>
      <c r="FV33" t="s">
        <v>358</v>
      </c>
      <c r="FW33" t="s">
        <v>358</v>
      </c>
      <c r="FX33" t="s">
        <v>358</v>
      </c>
      <c r="FY33" t="s">
        <v>358</v>
      </c>
      <c r="FZ33">
        <v>0</v>
      </c>
      <c r="GA33">
        <v>100</v>
      </c>
      <c r="GB33">
        <v>100</v>
      </c>
      <c r="GC33">
        <v>1.31</v>
      </c>
      <c r="GD33">
        <v>0.121</v>
      </c>
      <c r="GE33">
        <v>1.62600651378621</v>
      </c>
      <c r="GF33">
        <v>-0.001033730503750798</v>
      </c>
      <c r="GG33">
        <v>9.120241388950126E-07</v>
      </c>
      <c r="GH33">
        <v>-2.246115299815222E-10</v>
      </c>
      <c r="GI33">
        <v>-0.1043489834147464</v>
      </c>
      <c r="GJ33">
        <v>-0.01814858093373864</v>
      </c>
      <c r="GK33">
        <v>0.002091959988359369</v>
      </c>
      <c r="GL33">
        <v>-1.90871700788604E-05</v>
      </c>
      <c r="GM33">
        <v>2</v>
      </c>
      <c r="GN33">
        <v>2210</v>
      </c>
      <c r="GO33">
        <v>1</v>
      </c>
      <c r="GP33">
        <v>26</v>
      </c>
      <c r="GQ33">
        <v>1.8</v>
      </c>
      <c r="GR33">
        <v>1.8</v>
      </c>
      <c r="GS33">
        <v>1.26587</v>
      </c>
      <c r="GT33">
        <v>2.36694</v>
      </c>
      <c r="GU33">
        <v>2.34863</v>
      </c>
      <c r="GV33">
        <v>2.72827</v>
      </c>
      <c r="GW33">
        <v>2.39868</v>
      </c>
      <c r="GX33">
        <v>2.25464</v>
      </c>
      <c r="GY33">
        <v>30.674</v>
      </c>
      <c r="GZ33">
        <v>15.9708</v>
      </c>
      <c r="HA33">
        <v>18</v>
      </c>
      <c r="HB33">
        <v>725.099</v>
      </c>
      <c r="HC33">
        <v>656.226</v>
      </c>
      <c r="HD33">
        <v>25.2029</v>
      </c>
      <c r="HE33">
        <v>23.9873</v>
      </c>
      <c r="HF33">
        <v>30.0008</v>
      </c>
      <c r="HG33">
        <v>23.7839</v>
      </c>
      <c r="HH33">
        <v>23.7353</v>
      </c>
      <c r="HI33">
        <v>25.3977</v>
      </c>
      <c r="HJ33">
        <v>19.8149</v>
      </c>
      <c r="HK33">
        <v>63.7307</v>
      </c>
      <c r="HL33">
        <v>-999.9</v>
      </c>
      <c r="HM33">
        <v>405</v>
      </c>
      <c r="HN33">
        <v>17.693</v>
      </c>
      <c r="HO33">
        <v>100.51</v>
      </c>
      <c r="HP33">
        <v>100.859</v>
      </c>
    </row>
    <row r="34" spans="1:224">
      <c r="A34">
        <v>18</v>
      </c>
      <c r="B34">
        <v>1750959710.6</v>
      </c>
      <c r="C34">
        <v>2439.599999904633</v>
      </c>
      <c r="D34" t="s">
        <v>408</v>
      </c>
      <c r="E34" t="s">
        <v>409</v>
      </c>
      <c r="F34">
        <v>15</v>
      </c>
      <c r="G34">
        <v>1750959702.599999</v>
      </c>
      <c r="H34">
        <f>(I34)/1000</f>
        <v>0</v>
      </c>
      <c r="I34">
        <f>IF(BD34, AL34, AF34)</f>
        <v>0</v>
      </c>
      <c r="J34">
        <f>IF(BD34, AG34, AE34)</f>
        <v>0</v>
      </c>
      <c r="K34">
        <f>BF34 - IF(AS34&gt;1, J34*AZ34*100.0/(AU34), 0)</f>
        <v>0</v>
      </c>
      <c r="L34">
        <f>((R34-H34/2)*K34-J34)/(R34+H34/2)</f>
        <v>0</v>
      </c>
      <c r="M34">
        <f>L34*(BM34+BN34)/1000.0</f>
        <v>0</v>
      </c>
      <c r="N34">
        <f>(BF34 - IF(AS34&gt;1, J34*AZ34*100.0/(AU34), 0))*(BM34+BN34)/1000.0</f>
        <v>0</v>
      </c>
      <c r="O34">
        <f>2.0/((1/Q34-1/P34)+SIGN(Q34)*SQRT((1/Q34-1/P34)*(1/Q34-1/P34) + 4*BA34/((BA34+1)*(BA34+1))*(2*1/Q34*1/P34-1/P34*1/P34)))</f>
        <v>0</v>
      </c>
      <c r="P34">
        <f>IF(LEFT(BB34,1)&lt;&gt;"0",IF(LEFT(BB34,1)="1",3.0,BC34),$D$5+$E$5*(BT34*BM34/($K$5*1000))+$F$5*(BT34*BM34/($K$5*1000))*MAX(MIN(AZ34,$J$5),$I$5)*MAX(MIN(AZ34,$J$5),$I$5)+$G$5*MAX(MIN(AZ34,$J$5),$I$5)*(BT34*BM34/($K$5*1000))+$H$5*(BT34*BM34/($K$5*1000))*(BT34*BM34/($K$5*1000)))</f>
        <v>0</v>
      </c>
      <c r="Q34">
        <f>H34*(1000-(1000*0.61365*exp(17.502*U34/(240.97+U34))/(BM34+BN34)+BH34)/2)/(1000*0.61365*exp(17.502*U34/(240.97+U34))/(BM34+BN34)-BH34)</f>
        <v>0</v>
      </c>
      <c r="R34">
        <f>1/((BA34+1)/(O34/1.6)+1/(P34/1.37)) + BA34/((BA34+1)/(O34/1.6) + BA34/(P34/1.37))</f>
        <v>0</v>
      </c>
      <c r="S34">
        <f>(AV34*AY34)</f>
        <v>0</v>
      </c>
      <c r="T34">
        <f>(BO34+(S34+2*0.95*5.67E-8*(((BO34+$B$7)+273)^4-(BO34+273)^4)-44100*H34)/(1.84*29.3*P34+8*0.95*5.67E-8*(BO34+273)^3))</f>
        <v>0</v>
      </c>
      <c r="U34">
        <f>($C$7*BP34+$D$7*BQ34+$E$7*T34)</f>
        <v>0</v>
      </c>
      <c r="V34">
        <f>0.61365*exp(17.502*U34/(240.97+U34))</f>
        <v>0</v>
      </c>
      <c r="W34">
        <f>(X34/Y34*100)</f>
        <v>0</v>
      </c>
      <c r="X34">
        <f>BH34*(BM34+BN34)/1000</f>
        <v>0</v>
      </c>
      <c r="Y34">
        <f>0.61365*exp(17.502*BO34/(240.97+BO34))</f>
        <v>0</v>
      </c>
      <c r="Z34">
        <f>(V34-BH34*(BM34+BN34)/1000)</f>
        <v>0</v>
      </c>
      <c r="AA34">
        <f>(-H34*44100)</f>
        <v>0</v>
      </c>
      <c r="AB34">
        <f>2*29.3*P34*0.92*(BO34-U34)</f>
        <v>0</v>
      </c>
      <c r="AC34">
        <f>2*0.95*5.67E-8*(((BO34+$B$7)+273)^4-(U34+273)^4)</f>
        <v>0</v>
      </c>
      <c r="AD34">
        <f>S34+AC34+AA34+AB34</f>
        <v>0</v>
      </c>
      <c r="AE34">
        <f>BL34*AS34*(BG34-BF34*(1000-AS34*BI34)/(1000-AS34*BH34))/(100*AZ34)</f>
        <v>0</v>
      </c>
      <c r="AF34">
        <f>1000*BL34*AS34*(BH34-BI34)/(100*AZ34*(1000-AS34*BH34))</f>
        <v>0</v>
      </c>
      <c r="AG34">
        <f>(AH34 - AI34 - BM34*1E3/(8.314*(BO34+273.15)) * AK34/BL34 * AJ34) * BL34/(100*AZ34) * (1000 - BI34)/1000</f>
        <v>0</v>
      </c>
      <c r="AH34">
        <v>412.5993522135321</v>
      </c>
      <c r="AI34">
        <v>411.035678787879</v>
      </c>
      <c r="AJ34">
        <v>0.002216032200617752</v>
      </c>
      <c r="AK34">
        <v>66.95497639942522</v>
      </c>
      <c r="AL34">
        <f>(AN34 - AM34 + BM34*1E3/(8.314*(BO34+273.15)) * AP34/BL34 * AO34) * BL34/(100*AZ34) * 1000/(1000 - AN34)</f>
        <v>0</v>
      </c>
      <c r="AM34">
        <v>18.4800244590776</v>
      </c>
      <c r="AN34">
        <v>18.68253696969696</v>
      </c>
      <c r="AO34">
        <v>0.0002911198918977162</v>
      </c>
      <c r="AP34">
        <v>79.25697654301176</v>
      </c>
      <c r="AQ34">
        <v>15</v>
      </c>
      <c r="AR34">
        <v>2</v>
      </c>
      <c r="AS34">
        <f>IF(AQ34*$H$13&gt;=AU34,1.0,(AU34/(AU34-AQ34*$H$13)))</f>
        <v>0</v>
      </c>
      <c r="AT34">
        <f>(AS34-1)*100</f>
        <v>0</v>
      </c>
      <c r="AU34">
        <f>MAX(0,($B$13+$C$13*BT34)/(1+$D$13*BT34)*BM34/(BO34+273)*$E$13)</f>
        <v>0</v>
      </c>
      <c r="AV34">
        <f>$B$11*BU34+$C$11*BV34+$F$11*CG34*(1-CJ34)</f>
        <v>0</v>
      </c>
      <c r="AW34">
        <f>AV34*AX34</f>
        <v>0</v>
      </c>
      <c r="AX34">
        <f>($B$11*$D$9+$C$11*$D$9+$F$11*((CT34+CL34)/MAX(CT34+CL34+CU34, 0.1)*$I$9+CU34/MAX(CT34+CL34+CU34, 0.1)*$J$9))/($B$11+$C$11+$F$11)</f>
        <v>0</v>
      </c>
      <c r="AY34">
        <f>($B$11*$K$9+$C$11*$K$9+$F$11*((CT34+CL34)/MAX(CT34+CL34+CU34, 0.1)*$P$9+CU34/MAX(CT34+CL34+CU34, 0.1)*$Q$9))/($B$11+$C$11+$F$11)</f>
        <v>0</v>
      </c>
      <c r="AZ34">
        <v>6</v>
      </c>
      <c r="BA34">
        <v>0.5</v>
      </c>
      <c r="BB34" t="s">
        <v>353</v>
      </c>
      <c r="BC34">
        <v>2</v>
      </c>
      <c r="BD34" t="b">
        <v>0</v>
      </c>
      <c r="BE34">
        <v>1750959702.599999</v>
      </c>
      <c r="BF34">
        <v>403.3008709677418</v>
      </c>
      <c r="BG34">
        <v>405.0047741935484</v>
      </c>
      <c r="BH34">
        <v>18.6603</v>
      </c>
      <c r="BI34">
        <v>18.46328709677419</v>
      </c>
      <c r="BJ34">
        <v>402.0518709677418</v>
      </c>
      <c r="BK34">
        <v>18.5103</v>
      </c>
      <c r="BL34">
        <v>800.0074838709677</v>
      </c>
      <c r="BM34">
        <v>101.2061612903226</v>
      </c>
      <c r="BN34">
        <v>0.1000516903225806</v>
      </c>
      <c r="BO34">
        <v>26.42516451612903</v>
      </c>
      <c r="BP34">
        <v>26.18756451612903</v>
      </c>
      <c r="BQ34">
        <v>999.9000000000003</v>
      </c>
      <c r="BR34">
        <v>0</v>
      </c>
      <c r="BS34">
        <v>0</v>
      </c>
      <c r="BT34">
        <v>9999.614193548387</v>
      </c>
      <c r="BU34">
        <v>0</v>
      </c>
      <c r="BV34">
        <v>0.00152894</v>
      </c>
      <c r="BW34">
        <v>-1.642589032258064</v>
      </c>
      <c r="BX34">
        <v>411.0342903225806</v>
      </c>
      <c r="BY34">
        <v>412.6231290322581</v>
      </c>
      <c r="BZ34">
        <v>0.2020315483870968</v>
      </c>
      <c r="CA34">
        <v>405.0047741935484</v>
      </c>
      <c r="CB34">
        <v>18.46328709677419</v>
      </c>
      <c r="CC34">
        <v>1.889046129032258</v>
      </c>
      <c r="CD34">
        <v>1.868598387096774</v>
      </c>
      <c r="CE34">
        <v>16.54377419354839</v>
      </c>
      <c r="CF34">
        <v>16.37275806451613</v>
      </c>
      <c r="CG34">
        <v>1000.005161290323</v>
      </c>
      <c r="CH34">
        <v>0.9599923870967741</v>
      </c>
      <c r="CI34">
        <v>0.04000778387096773</v>
      </c>
      <c r="CJ34">
        <v>0</v>
      </c>
      <c r="CK34">
        <v>1.890806451612904</v>
      </c>
      <c r="CL34">
        <v>0</v>
      </c>
      <c r="CM34">
        <v>6723.975161290322</v>
      </c>
      <c r="CN34">
        <v>7946.921612903223</v>
      </c>
      <c r="CO34">
        <v>37.24767741935483</v>
      </c>
      <c r="CP34">
        <v>41.91509677419354</v>
      </c>
      <c r="CQ34">
        <v>38.90296774193548</v>
      </c>
      <c r="CR34">
        <v>40.87883870967742</v>
      </c>
      <c r="CS34">
        <v>37.75174193548386</v>
      </c>
      <c r="CT34">
        <v>959.9961290322582</v>
      </c>
      <c r="CU34">
        <v>40.01</v>
      </c>
      <c r="CV34">
        <v>0</v>
      </c>
      <c r="CW34">
        <v>1750959727.7</v>
      </c>
      <c r="CX34">
        <v>0</v>
      </c>
      <c r="CY34">
        <v>1750959729.6</v>
      </c>
      <c r="CZ34" t="s">
        <v>410</v>
      </c>
      <c r="DA34">
        <v>1750959727.6</v>
      </c>
      <c r="DB34">
        <v>1750959729.6</v>
      </c>
      <c r="DC34">
        <v>18</v>
      </c>
      <c r="DD34">
        <v>-0.061</v>
      </c>
      <c r="DE34">
        <v>0.001</v>
      </c>
      <c r="DF34">
        <v>1.249</v>
      </c>
      <c r="DG34">
        <v>0.15</v>
      </c>
      <c r="DH34">
        <v>405</v>
      </c>
      <c r="DI34">
        <v>19</v>
      </c>
      <c r="DJ34">
        <v>0.22</v>
      </c>
      <c r="DK34">
        <v>0.17</v>
      </c>
      <c r="DL34">
        <v>-1.642582</v>
      </c>
      <c r="DM34">
        <v>0.0130928330206431</v>
      </c>
      <c r="DN34">
        <v>0.01417791790073563</v>
      </c>
      <c r="DO34">
        <v>1</v>
      </c>
      <c r="DP34">
        <v>0.207475475</v>
      </c>
      <c r="DQ34">
        <v>-0.1004119136960603</v>
      </c>
      <c r="DR34">
        <v>0.01111209081133587</v>
      </c>
      <c r="DS34">
        <v>0</v>
      </c>
      <c r="DT34">
        <v>1</v>
      </c>
      <c r="DU34">
        <v>2</v>
      </c>
      <c r="DV34" t="s">
        <v>355</v>
      </c>
      <c r="DW34">
        <v>3.45032</v>
      </c>
      <c r="DX34">
        <v>2.78059</v>
      </c>
      <c r="DY34">
        <v>0.0970728</v>
      </c>
      <c r="DZ34">
        <v>0.0975559</v>
      </c>
      <c r="EA34">
        <v>0.0997101</v>
      </c>
      <c r="EB34">
        <v>0.0984795</v>
      </c>
      <c r="EC34">
        <v>27194.9</v>
      </c>
      <c r="ED34">
        <v>30950.3</v>
      </c>
      <c r="EE34">
        <v>29255.4</v>
      </c>
      <c r="EF34">
        <v>34884.5</v>
      </c>
      <c r="EG34">
        <v>30463.8</v>
      </c>
      <c r="EH34">
        <v>39032.1</v>
      </c>
      <c r="EI34">
        <v>36022.4</v>
      </c>
      <c r="EJ34">
        <v>46166.1</v>
      </c>
      <c r="EK34">
        <v>2.49478</v>
      </c>
      <c r="EL34">
        <v>2.2426</v>
      </c>
      <c r="EM34">
        <v>0.0819005</v>
      </c>
      <c r="EN34">
        <v>0</v>
      </c>
      <c r="EO34">
        <v>24.8649</v>
      </c>
      <c r="EP34">
        <v>999.9</v>
      </c>
      <c r="EQ34">
        <v>62.9</v>
      </c>
      <c r="ER34">
        <v>25.7</v>
      </c>
      <c r="ES34">
        <v>20.6024</v>
      </c>
      <c r="ET34">
        <v>61.9447</v>
      </c>
      <c r="EU34">
        <v>25.4768</v>
      </c>
      <c r="EV34">
        <v>2</v>
      </c>
      <c r="EW34">
        <v>-0.252315</v>
      </c>
      <c r="EX34">
        <v>0</v>
      </c>
      <c r="EY34">
        <v>20.2957</v>
      </c>
      <c r="EZ34">
        <v>5.2113</v>
      </c>
      <c r="FA34">
        <v>11.968</v>
      </c>
      <c r="FB34">
        <v>4.9911</v>
      </c>
      <c r="FC34">
        <v>3.272</v>
      </c>
      <c r="FD34">
        <v>3133.3</v>
      </c>
      <c r="FE34">
        <v>9999</v>
      </c>
      <c r="FF34">
        <v>9999</v>
      </c>
      <c r="FG34">
        <v>999.9</v>
      </c>
      <c r="FH34">
        <v>4.97263</v>
      </c>
      <c r="FI34">
        <v>1.86273</v>
      </c>
      <c r="FJ34">
        <v>1.86447</v>
      </c>
      <c r="FK34">
        <v>1.86295</v>
      </c>
      <c r="FL34">
        <v>1.86295</v>
      </c>
      <c r="FM34">
        <v>1.86355</v>
      </c>
      <c r="FN34">
        <v>1.86004</v>
      </c>
      <c r="FO34">
        <v>1.86279</v>
      </c>
      <c r="FP34">
        <v>0</v>
      </c>
      <c r="FQ34">
        <v>0</v>
      </c>
      <c r="FR34">
        <v>0</v>
      </c>
      <c r="FS34">
        <v>0</v>
      </c>
      <c r="FT34" t="s">
        <v>356</v>
      </c>
      <c r="FU34" t="s">
        <v>357</v>
      </c>
      <c r="FV34" t="s">
        <v>358</v>
      </c>
      <c r="FW34" t="s">
        <v>358</v>
      </c>
      <c r="FX34" t="s">
        <v>358</v>
      </c>
      <c r="FY34" t="s">
        <v>358</v>
      </c>
      <c r="FZ34">
        <v>0</v>
      </c>
      <c r="GA34">
        <v>100</v>
      </c>
      <c r="GB34">
        <v>100</v>
      </c>
      <c r="GC34">
        <v>1.249</v>
      </c>
      <c r="GD34">
        <v>0.15</v>
      </c>
      <c r="GE34">
        <v>1.593078683207639</v>
      </c>
      <c r="GF34">
        <v>-0.001033730503750798</v>
      </c>
      <c r="GG34">
        <v>9.120241388950126E-07</v>
      </c>
      <c r="GH34">
        <v>-2.246115299815222E-10</v>
      </c>
      <c r="GI34">
        <v>-0.1047542341402596</v>
      </c>
      <c r="GJ34">
        <v>-0.01814858093373864</v>
      </c>
      <c r="GK34">
        <v>0.002091959988359369</v>
      </c>
      <c r="GL34">
        <v>-1.90871700788604E-05</v>
      </c>
      <c r="GM34">
        <v>2</v>
      </c>
      <c r="GN34">
        <v>2210</v>
      </c>
      <c r="GO34">
        <v>1</v>
      </c>
      <c r="GP34">
        <v>26</v>
      </c>
      <c r="GQ34">
        <v>2.3</v>
      </c>
      <c r="GR34">
        <v>2.2</v>
      </c>
      <c r="GS34">
        <v>1.26709</v>
      </c>
      <c r="GT34">
        <v>2.36694</v>
      </c>
      <c r="GU34">
        <v>2.34741</v>
      </c>
      <c r="GV34">
        <v>2.72949</v>
      </c>
      <c r="GW34">
        <v>2.39868</v>
      </c>
      <c r="GX34">
        <v>2.25586</v>
      </c>
      <c r="GY34">
        <v>31.0202</v>
      </c>
      <c r="GZ34">
        <v>15.962</v>
      </c>
      <c r="HA34">
        <v>18</v>
      </c>
      <c r="HB34">
        <v>798.175</v>
      </c>
      <c r="HC34">
        <v>655.109</v>
      </c>
      <c r="HD34">
        <v>25.5201</v>
      </c>
      <c r="HE34">
        <v>24.2989</v>
      </c>
      <c r="HF34">
        <v>30.0007</v>
      </c>
      <c r="HG34">
        <v>24.0723</v>
      </c>
      <c r="HH34">
        <v>24.0198</v>
      </c>
      <c r="HI34">
        <v>25.4131</v>
      </c>
      <c r="HJ34">
        <v>18.207</v>
      </c>
      <c r="HK34">
        <v>70.6807</v>
      </c>
      <c r="HL34">
        <v>-999.9</v>
      </c>
      <c r="HM34">
        <v>405</v>
      </c>
      <c r="HN34">
        <v>18.5491</v>
      </c>
      <c r="HO34">
        <v>100.46</v>
      </c>
      <c r="HP34">
        <v>100.814</v>
      </c>
    </row>
    <row r="35" spans="1:224">
      <c r="A35">
        <v>19</v>
      </c>
      <c r="B35">
        <v>1750959838.6</v>
      </c>
      <c r="C35">
        <v>2567.599999904633</v>
      </c>
      <c r="D35" t="s">
        <v>411</v>
      </c>
      <c r="E35" t="s">
        <v>412</v>
      </c>
      <c r="F35">
        <v>15</v>
      </c>
      <c r="G35">
        <v>1750959830.599999</v>
      </c>
      <c r="H35">
        <f>(I35)/1000</f>
        <v>0</v>
      </c>
      <c r="I35">
        <f>IF(BD35, AL35, AF35)</f>
        <v>0</v>
      </c>
      <c r="J35">
        <f>IF(BD35, AG35, AE35)</f>
        <v>0</v>
      </c>
      <c r="K35">
        <f>BF35 - IF(AS35&gt;1, J35*AZ35*100.0/(AU35), 0)</f>
        <v>0</v>
      </c>
      <c r="L35">
        <f>((R35-H35/2)*K35-J35)/(R35+H35/2)</f>
        <v>0</v>
      </c>
      <c r="M35">
        <f>L35*(BM35+BN35)/1000.0</f>
        <v>0</v>
      </c>
      <c r="N35">
        <f>(BF35 - IF(AS35&gt;1, J35*AZ35*100.0/(AU35), 0))*(BM35+BN35)/1000.0</f>
        <v>0</v>
      </c>
      <c r="O35">
        <f>2.0/((1/Q35-1/P35)+SIGN(Q35)*SQRT((1/Q35-1/P35)*(1/Q35-1/P35) + 4*BA35/((BA35+1)*(BA35+1))*(2*1/Q35*1/P35-1/P35*1/P35)))</f>
        <v>0</v>
      </c>
      <c r="P35">
        <f>IF(LEFT(BB35,1)&lt;&gt;"0",IF(LEFT(BB35,1)="1",3.0,BC35),$D$5+$E$5*(BT35*BM35/($K$5*1000))+$F$5*(BT35*BM35/($K$5*1000))*MAX(MIN(AZ35,$J$5),$I$5)*MAX(MIN(AZ35,$J$5),$I$5)+$G$5*MAX(MIN(AZ35,$J$5),$I$5)*(BT35*BM35/($K$5*1000))+$H$5*(BT35*BM35/($K$5*1000))*(BT35*BM35/($K$5*1000)))</f>
        <v>0</v>
      </c>
      <c r="Q35">
        <f>H35*(1000-(1000*0.61365*exp(17.502*U35/(240.97+U35))/(BM35+BN35)+BH35)/2)/(1000*0.61365*exp(17.502*U35/(240.97+U35))/(BM35+BN35)-BH35)</f>
        <v>0</v>
      </c>
      <c r="R35">
        <f>1/((BA35+1)/(O35/1.6)+1/(P35/1.37)) + BA35/((BA35+1)/(O35/1.6) + BA35/(P35/1.37))</f>
        <v>0</v>
      </c>
      <c r="S35">
        <f>(AV35*AY35)</f>
        <v>0</v>
      </c>
      <c r="T35">
        <f>(BO35+(S35+2*0.95*5.67E-8*(((BO35+$B$7)+273)^4-(BO35+273)^4)-44100*H35)/(1.84*29.3*P35+8*0.95*5.67E-8*(BO35+273)^3))</f>
        <v>0</v>
      </c>
      <c r="U35">
        <f>($C$7*BP35+$D$7*BQ35+$E$7*T35)</f>
        <v>0</v>
      </c>
      <c r="V35">
        <f>0.61365*exp(17.502*U35/(240.97+U35))</f>
        <v>0</v>
      </c>
      <c r="W35">
        <f>(X35/Y35*100)</f>
        <v>0</v>
      </c>
      <c r="X35">
        <f>BH35*(BM35+BN35)/1000</f>
        <v>0</v>
      </c>
      <c r="Y35">
        <f>0.61365*exp(17.502*BO35/(240.97+BO35))</f>
        <v>0</v>
      </c>
      <c r="Z35">
        <f>(V35-BH35*(BM35+BN35)/1000)</f>
        <v>0</v>
      </c>
      <c r="AA35">
        <f>(-H35*44100)</f>
        <v>0</v>
      </c>
      <c r="AB35">
        <f>2*29.3*P35*0.92*(BO35-U35)</f>
        <v>0</v>
      </c>
      <c r="AC35">
        <f>2*0.95*5.67E-8*(((BO35+$B$7)+273)^4-(U35+273)^4)</f>
        <v>0</v>
      </c>
      <c r="AD35">
        <f>S35+AC35+AA35+AB35</f>
        <v>0</v>
      </c>
      <c r="AE35">
        <f>BL35*AS35*(BG35-BF35*(1000-AS35*BI35)/(1000-AS35*BH35))/(100*AZ35)</f>
        <v>0</v>
      </c>
      <c r="AF35">
        <f>1000*BL35*AS35*(BH35-BI35)/(100*AZ35*(1000-AS35*BH35))</f>
        <v>0</v>
      </c>
      <c r="AG35">
        <f>(AH35 - AI35 - BM35*1E3/(8.314*(BO35+273.15)) * AK35/BL35 * AJ35) * BL35/(100*AZ35) * (1000 - BI35)/1000</f>
        <v>0</v>
      </c>
      <c r="AH35">
        <v>412.7609317022012</v>
      </c>
      <c r="AI35">
        <v>412.3051757575759</v>
      </c>
      <c r="AJ35">
        <v>7.041146884775078E-05</v>
      </c>
      <c r="AK35">
        <v>66.95173536262106</v>
      </c>
      <c r="AL35">
        <f>(AN35 - AM35 + BM35*1E3/(8.314*(BO35+273.15)) * AP35/BL35 * AO35) * BL35/(100*AZ35) * 1000/(1000 - AN35)</f>
        <v>0</v>
      </c>
      <c r="AM35">
        <v>18.81690463732417</v>
      </c>
      <c r="AN35">
        <v>18.81685454545455</v>
      </c>
      <c r="AO35">
        <v>0.007372902105394394</v>
      </c>
      <c r="AP35">
        <v>79.32196867979445</v>
      </c>
      <c r="AQ35">
        <v>19</v>
      </c>
      <c r="AR35">
        <v>2</v>
      </c>
      <c r="AS35">
        <f>IF(AQ35*$H$13&gt;=AU35,1.0,(AU35/(AU35-AQ35*$H$13)))</f>
        <v>0</v>
      </c>
      <c r="AT35">
        <f>(AS35-1)*100</f>
        <v>0</v>
      </c>
      <c r="AU35">
        <f>MAX(0,($B$13+$C$13*BT35)/(1+$D$13*BT35)*BM35/(BO35+273)*$E$13)</f>
        <v>0</v>
      </c>
      <c r="AV35">
        <f>$B$11*BU35+$C$11*BV35+$F$11*CG35*(1-CJ35)</f>
        <v>0</v>
      </c>
      <c r="AW35">
        <f>AV35*AX35</f>
        <v>0</v>
      </c>
      <c r="AX35">
        <f>($B$11*$D$9+$C$11*$D$9+$F$11*((CT35+CL35)/MAX(CT35+CL35+CU35, 0.1)*$I$9+CU35/MAX(CT35+CL35+CU35, 0.1)*$J$9))/($B$11+$C$11+$F$11)</f>
        <v>0</v>
      </c>
      <c r="AY35">
        <f>($B$11*$K$9+$C$11*$K$9+$F$11*((CT35+CL35)/MAX(CT35+CL35+CU35, 0.1)*$P$9+CU35/MAX(CT35+CL35+CU35, 0.1)*$Q$9))/($B$11+$C$11+$F$11)</f>
        <v>0</v>
      </c>
      <c r="AZ35">
        <v>6</v>
      </c>
      <c r="BA35">
        <v>0.5</v>
      </c>
      <c r="BB35" t="s">
        <v>353</v>
      </c>
      <c r="BC35">
        <v>2</v>
      </c>
      <c r="BD35" t="b">
        <v>0</v>
      </c>
      <c r="BE35">
        <v>1750959830.599999</v>
      </c>
      <c r="BF35">
        <v>404.6888064516129</v>
      </c>
      <c r="BG35">
        <v>404.9795483870968</v>
      </c>
      <c r="BH35">
        <v>18.75567419354839</v>
      </c>
      <c r="BI35">
        <v>18.80118709677419</v>
      </c>
      <c r="BJ35">
        <v>403.481806451613</v>
      </c>
      <c r="BK35">
        <v>18.59267419354839</v>
      </c>
      <c r="BL35">
        <v>800.0267096774195</v>
      </c>
      <c r="BM35">
        <v>101.2122258064516</v>
      </c>
      <c r="BN35">
        <v>0.100195564516129</v>
      </c>
      <c r="BO35">
        <v>26.46913870967742</v>
      </c>
      <c r="BP35">
        <v>26.5398870967742</v>
      </c>
      <c r="BQ35">
        <v>999.9000000000003</v>
      </c>
      <c r="BR35">
        <v>0</v>
      </c>
      <c r="BS35">
        <v>0</v>
      </c>
      <c r="BT35">
        <v>10001.25161290323</v>
      </c>
      <c r="BU35">
        <v>0</v>
      </c>
      <c r="BV35">
        <v>0.00152894</v>
      </c>
      <c r="BW35">
        <v>-0.2485813838709678</v>
      </c>
      <c r="BX35">
        <v>412.4654838709677</v>
      </c>
      <c r="BY35">
        <v>412.7395483870967</v>
      </c>
      <c r="BZ35">
        <v>-0.04955606225806451</v>
      </c>
      <c r="CA35">
        <v>404.9795483870968</v>
      </c>
      <c r="CB35">
        <v>18.80118709677419</v>
      </c>
      <c r="CC35">
        <v>1.897895161290322</v>
      </c>
      <c r="CD35">
        <v>1.902909677419355</v>
      </c>
      <c r="CE35">
        <v>16.61722258064516</v>
      </c>
      <c r="CF35">
        <v>16.6588</v>
      </c>
      <c r="CG35">
        <v>999.9933548387097</v>
      </c>
      <c r="CH35">
        <v>0.9600054516129031</v>
      </c>
      <c r="CI35">
        <v>0.03999417096774193</v>
      </c>
      <c r="CJ35">
        <v>0</v>
      </c>
      <c r="CK35">
        <v>1.79516129032258</v>
      </c>
      <c r="CL35">
        <v>0</v>
      </c>
      <c r="CM35">
        <v>5949.915161290322</v>
      </c>
      <c r="CN35">
        <v>7946.877741935485</v>
      </c>
      <c r="CO35">
        <v>35.86464516129031</v>
      </c>
      <c r="CP35">
        <v>38.8928387096774</v>
      </c>
      <c r="CQ35">
        <v>37.18532258064516</v>
      </c>
      <c r="CR35">
        <v>38.04616129032257</v>
      </c>
      <c r="CS35">
        <v>36.33445161290322</v>
      </c>
      <c r="CT35">
        <v>959.9970967741936</v>
      </c>
      <c r="CU35">
        <v>39.99096774193548</v>
      </c>
      <c r="CV35">
        <v>0</v>
      </c>
      <c r="CW35">
        <v>1750959856.1</v>
      </c>
      <c r="CX35">
        <v>0</v>
      </c>
      <c r="CY35">
        <v>1750959860.6</v>
      </c>
      <c r="CZ35" t="s">
        <v>413</v>
      </c>
      <c r="DA35">
        <v>1750959860.6</v>
      </c>
      <c r="DB35">
        <v>1750959850.6</v>
      </c>
      <c r="DC35">
        <v>19</v>
      </c>
      <c r="DD35">
        <v>-0.042</v>
      </c>
      <c r="DE35">
        <v>0.001</v>
      </c>
      <c r="DF35">
        <v>1.207</v>
      </c>
      <c r="DG35">
        <v>0.163</v>
      </c>
      <c r="DH35">
        <v>405</v>
      </c>
      <c r="DI35">
        <v>19</v>
      </c>
      <c r="DJ35">
        <v>0.42</v>
      </c>
      <c r="DK35">
        <v>0.19</v>
      </c>
      <c r="DL35">
        <v>0.0157286775</v>
      </c>
      <c r="DM35">
        <v>-5.168984788367732</v>
      </c>
      <c r="DN35">
        <v>0.558571567478767</v>
      </c>
      <c r="DO35">
        <v>0</v>
      </c>
      <c r="DP35">
        <v>-0.06680469824999999</v>
      </c>
      <c r="DQ35">
        <v>0.4502017592870546</v>
      </c>
      <c r="DR35">
        <v>0.04390160041325258</v>
      </c>
      <c r="DS35">
        <v>0</v>
      </c>
      <c r="DT35">
        <v>0</v>
      </c>
      <c r="DU35">
        <v>2</v>
      </c>
      <c r="DV35" t="s">
        <v>362</v>
      </c>
      <c r="DW35">
        <v>3.45039</v>
      </c>
      <c r="DX35">
        <v>2.7804</v>
      </c>
      <c r="DY35">
        <v>0.0972712</v>
      </c>
      <c r="DZ35">
        <v>0.09753920000000001</v>
      </c>
      <c r="EA35">
        <v>0.100181</v>
      </c>
      <c r="EB35">
        <v>0.0997243</v>
      </c>
      <c r="EC35">
        <v>27183.9</v>
      </c>
      <c r="ED35">
        <v>30946.5</v>
      </c>
      <c r="EE35">
        <v>29250.5</v>
      </c>
      <c r="EF35">
        <v>34880.2</v>
      </c>
      <c r="EG35">
        <v>30442.6</v>
      </c>
      <c r="EH35">
        <v>38973.7</v>
      </c>
      <c r="EI35">
        <v>36015.9</v>
      </c>
      <c r="EJ35">
        <v>46160.5</v>
      </c>
      <c r="EK35">
        <v>2.48598</v>
      </c>
      <c r="EL35">
        <v>2.2393</v>
      </c>
      <c r="EM35">
        <v>0.11012</v>
      </c>
      <c r="EN35">
        <v>0</v>
      </c>
      <c r="EO35">
        <v>24.7607</v>
      </c>
      <c r="EP35">
        <v>999.9</v>
      </c>
      <c r="EQ35">
        <v>63.3</v>
      </c>
      <c r="ER35">
        <v>25.9</v>
      </c>
      <c r="ES35">
        <v>20.9795</v>
      </c>
      <c r="ET35">
        <v>62.2247</v>
      </c>
      <c r="EU35">
        <v>25.3966</v>
      </c>
      <c r="EV35">
        <v>2</v>
      </c>
      <c r="EW35">
        <v>-0.243044</v>
      </c>
      <c r="EX35">
        <v>0</v>
      </c>
      <c r="EY35">
        <v>20.2933</v>
      </c>
      <c r="EZ35">
        <v>5.20726</v>
      </c>
      <c r="FA35">
        <v>11.968</v>
      </c>
      <c r="FB35">
        <v>4.99</v>
      </c>
      <c r="FC35">
        <v>3.27122</v>
      </c>
      <c r="FD35">
        <v>3137.5</v>
      </c>
      <c r="FE35">
        <v>9999</v>
      </c>
      <c r="FF35">
        <v>9999</v>
      </c>
      <c r="FG35">
        <v>999.9</v>
      </c>
      <c r="FH35">
        <v>4.97263</v>
      </c>
      <c r="FI35">
        <v>1.86278</v>
      </c>
      <c r="FJ35">
        <v>1.86449</v>
      </c>
      <c r="FK35">
        <v>1.86295</v>
      </c>
      <c r="FL35">
        <v>1.86295</v>
      </c>
      <c r="FM35">
        <v>1.86355</v>
      </c>
      <c r="FN35">
        <v>1.86004</v>
      </c>
      <c r="FO35">
        <v>1.86279</v>
      </c>
      <c r="FP35">
        <v>0</v>
      </c>
      <c r="FQ35">
        <v>0</v>
      </c>
      <c r="FR35">
        <v>0</v>
      </c>
      <c r="FS35">
        <v>0</v>
      </c>
      <c r="FT35" t="s">
        <v>356</v>
      </c>
      <c r="FU35" t="s">
        <v>357</v>
      </c>
      <c r="FV35" t="s">
        <v>358</v>
      </c>
      <c r="FW35" t="s">
        <v>358</v>
      </c>
      <c r="FX35" t="s">
        <v>358</v>
      </c>
      <c r="FY35" t="s">
        <v>358</v>
      </c>
      <c r="FZ35">
        <v>0</v>
      </c>
      <c r="GA35">
        <v>100</v>
      </c>
      <c r="GB35">
        <v>100</v>
      </c>
      <c r="GC35">
        <v>1.207</v>
      </c>
      <c r="GD35">
        <v>0.163</v>
      </c>
      <c r="GE35">
        <v>1.532542544801637</v>
      </c>
      <c r="GF35">
        <v>-0.001033730503750798</v>
      </c>
      <c r="GG35">
        <v>9.120241388950126E-07</v>
      </c>
      <c r="GH35">
        <v>-2.246115299815222E-10</v>
      </c>
      <c r="GI35">
        <v>-0.1040948649598569</v>
      </c>
      <c r="GJ35">
        <v>-0.01814858093373864</v>
      </c>
      <c r="GK35">
        <v>0.002091959988359369</v>
      </c>
      <c r="GL35">
        <v>-1.90871700788604E-05</v>
      </c>
      <c r="GM35">
        <v>2</v>
      </c>
      <c r="GN35">
        <v>2210</v>
      </c>
      <c r="GO35">
        <v>1</v>
      </c>
      <c r="GP35">
        <v>26</v>
      </c>
      <c r="GQ35">
        <v>1.9</v>
      </c>
      <c r="GR35">
        <v>1.8</v>
      </c>
      <c r="GS35">
        <v>1.26709</v>
      </c>
      <c r="GT35">
        <v>2.36572</v>
      </c>
      <c r="GU35">
        <v>2.34741</v>
      </c>
      <c r="GV35">
        <v>2.72949</v>
      </c>
      <c r="GW35">
        <v>2.39868</v>
      </c>
      <c r="GX35">
        <v>2.29614</v>
      </c>
      <c r="GY35">
        <v>31.2374</v>
      </c>
      <c r="GZ35">
        <v>15.9533</v>
      </c>
      <c r="HA35">
        <v>18</v>
      </c>
      <c r="HB35">
        <v>792.977</v>
      </c>
      <c r="HC35">
        <v>654.404</v>
      </c>
      <c r="HD35">
        <v>25.6737</v>
      </c>
      <c r="HE35">
        <v>24.4478</v>
      </c>
      <c r="HF35">
        <v>30.0005</v>
      </c>
      <c r="HG35">
        <v>24.2317</v>
      </c>
      <c r="HH35">
        <v>24.179</v>
      </c>
      <c r="HI35">
        <v>25.4208</v>
      </c>
      <c r="HJ35">
        <v>17.9525</v>
      </c>
      <c r="HK35">
        <v>76.6302</v>
      </c>
      <c r="HL35">
        <v>-999.9</v>
      </c>
      <c r="HM35">
        <v>405</v>
      </c>
      <c r="HN35">
        <v>18.7898</v>
      </c>
      <c r="HO35">
        <v>100.443</v>
      </c>
      <c r="HP35">
        <v>100.802</v>
      </c>
    </row>
    <row r="36" spans="1:224">
      <c r="A36">
        <v>20</v>
      </c>
      <c r="B36">
        <v>1750960004.1</v>
      </c>
      <c r="C36">
        <v>2733.099999904633</v>
      </c>
      <c r="D36" t="s">
        <v>414</v>
      </c>
      <c r="E36" t="s">
        <v>415</v>
      </c>
      <c r="F36">
        <v>15</v>
      </c>
      <c r="G36">
        <v>1750959996.349999</v>
      </c>
      <c r="H36">
        <f>(I36)/1000</f>
        <v>0</v>
      </c>
      <c r="I36">
        <f>IF(BD36, AL36, AF36)</f>
        <v>0</v>
      </c>
      <c r="J36">
        <f>IF(BD36, AG36, AE36)</f>
        <v>0</v>
      </c>
      <c r="K36">
        <f>BF36 - IF(AS36&gt;1, J36*AZ36*100.0/(AU36), 0)</f>
        <v>0</v>
      </c>
      <c r="L36">
        <f>((R36-H36/2)*K36-J36)/(R36+H36/2)</f>
        <v>0</v>
      </c>
      <c r="M36">
        <f>L36*(BM36+BN36)/1000.0</f>
        <v>0</v>
      </c>
      <c r="N36">
        <f>(BF36 - IF(AS36&gt;1, J36*AZ36*100.0/(AU36), 0))*(BM36+BN36)/1000.0</f>
        <v>0</v>
      </c>
      <c r="O36">
        <f>2.0/((1/Q36-1/P36)+SIGN(Q36)*SQRT((1/Q36-1/P36)*(1/Q36-1/P36) + 4*BA36/((BA36+1)*(BA36+1))*(2*1/Q36*1/P36-1/P36*1/P36)))</f>
        <v>0</v>
      </c>
      <c r="P36">
        <f>IF(LEFT(BB36,1)&lt;&gt;"0",IF(LEFT(BB36,1)="1",3.0,BC36),$D$5+$E$5*(BT36*BM36/($K$5*1000))+$F$5*(BT36*BM36/($K$5*1000))*MAX(MIN(AZ36,$J$5),$I$5)*MAX(MIN(AZ36,$J$5),$I$5)+$G$5*MAX(MIN(AZ36,$J$5),$I$5)*(BT36*BM36/($K$5*1000))+$H$5*(BT36*BM36/($K$5*1000))*(BT36*BM36/($K$5*1000)))</f>
        <v>0</v>
      </c>
      <c r="Q36">
        <f>H36*(1000-(1000*0.61365*exp(17.502*U36/(240.97+U36))/(BM36+BN36)+BH36)/2)/(1000*0.61365*exp(17.502*U36/(240.97+U36))/(BM36+BN36)-BH36)</f>
        <v>0</v>
      </c>
      <c r="R36">
        <f>1/((BA36+1)/(O36/1.6)+1/(P36/1.37)) + BA36/((BA36+1)/(O36/1.6) + BA36/(P36/1.37))</f>
        <v>0</v>
      </c>
      <c r="S36">
        <f>(AV36*AY36)</f>
        <v>0</v>
      </c>
      <c r="T36">
        <f>(BO36+(S36+2*0.95*5.67E-8*(((BO36+$B$7)+273)^4-(BO36+273)^4)-44100*H36)/(1.84*29.3*P36+8*0.95*5.67E-8*(BO36+273)^3))</f>
        <v>0</v>
      </c>
      <c r="U36">
        <f>($C$7*BP36+$D$7*BQ36+$E$7*T36)</f>
        <v>0</v>
      </c>
      <c r="V36">
        <f>0.61365*exp(17.502*U36/(240.97+U36))</f>
        <v>0</v>
      </c>
      <c r="W36">
        <f>(X36/Y36*100)</f>
        <v>0</v>
      </c>
      <c r="X36">
        <f>BH36*(BM36+BN36)/1000</f>
        <v>0</v>
      </c>
      <c r="Y36">
        <f>0.61365*exp(17.502*BO36/(240.97+BO36))</f>
        <v>0</v>
      </c>
      <c r="Z36">
        <f>(V36-BH36*(BM36+BN36)/1000)</f>
        <v>0</v>
      </c>
      <c r="AA36">
        <f>(-H36*44100)</f>
        <v>0</v>
      </c>
      <c r="AB36">
        <f>2*29.3*P36*0.92*(BO36-U36)</f>
        <v>0</v>
      </c>
      <c r="AC36">
        <f>2*0.95*5.67E-8*(((BO36+$B$7)+273)^4-(U36+273)^4)</f>
        <v>0</v>
      </c>
      <c r="AD36">
        <f>S36+AC36+AA36+AB36</f>
        <v>0</v>
      </c>
      <c r="AE36">
        <f>BL36*AS36*(BG36-BF36*(1000-AS36*BI36)/(1000-AS36*BH36))/(100*AZ36)</f>
        <v>0</v>
      </c>
      <c r="AF36">
        <f>1000*BL36*AS36*(BH36-BI36)/(100*AZ36*(1000-AS36*BH36))</f>
        <v>0</v>
      </c>
      <c r="AG36">
        <f>(AH36 - AI36 - BM36*1E3/(8.314*(BO36+273.15)) * AK36/BL36 * AJ36) * BL36/(100*AZ36) * (1000 - BI36)/1000</f>
        <v>0</v>
      </c>
      <c r="AH36">
        <v>412.7983989103374</v>
      </c>
      <c r="AI36">
        <v>421.2044666666665</v>
      </c>
      <c r="AJ36">
        <v>0.0001231001741212601</v>
      </c>
      <c r="AK36">
        <v>66.95335281027106</v>
      </c>
      <c r="AL36">
        <f>(AN36 - AM36 + BM36*1E3/(8.314*(BO36+273.15)) * AP36/BL36 * AO36) * BL36/(100*AZ36) * 1000/(1000 - AN36)</f>
        <v>0</v>
      </c>
      <c r="AM36">
        <v>18.8586062636369</v>
      </c>
      <c r="AN36">
        <v>15.23806424242423</v>
      </c>
      <c r="AO36">
        <v>0.005032727287794175</v>
      </c>
      <c r="AP36">
        <v>79.28329672947228</v>
      </c>
      <c r="AQ36">
        <v>799</v>
      </c>
      <c r="AR36">
        <v>100</v>
      </c>
      <c r="AS36">
        <f>IF(AQ36*$H$13&gt;=AU36,1.0,(AU36/(AU36-AQ36*$H$13)))</f>
        <v>0</v>
      </c>
      <c r="AT36">
        <f>(AS36-1)*100</f>
        <v>0</v>
      </c>
      <c r="AU36">
        <f>MAX(0,($B$13+$C$13*BT36)/(1+$D$13*BT36)*BM36/(BO36+273)*$E$13)</f>
        <v>0</v>
      </c>
      <c r="AV36">
        <f>$B$11*BU36+$C$11*BV36+$F$11*CG36*(1-CJ36)</f>
        <v>0</v>
      </c>
      <c r="AW36">
        <f>AV36*AX36</f>
        <v>0</v>
      </c>
      <c r="AX36">
        <f>($B$11*$D$9+$C$11*$D$9+$F$11*((CT36+CL36)/MAX(CT36+CL36+CU36, 0.1)*$I$9+CU36/MAX(CT36+CL36+CU36, 0.1)*$J$9))/($B$11+$C$11+$F$11)</f>
        <v>0</v>
      </c>
      <c r="AY36">
        <f>($B$11*$K$9+$C$11*$K$9+$F$11*((CT36+CL36)/MAX(CT36+CL36+CU36, 0.1)*$P$9+CU36/MAX(CT36+CL36+CU36, 0.1)*$Q$9))/($B$11+$C$11+$F$11)</f>
        <v>0</v>
      </c>
      <c r="AZ36">
        <v>6</v>
      </c>
      <c r="BA36">
        <v>0.5</v>
      </c>
      <c r="BB36" t="s">
        <v>353</v>
      </c>
      <c r="BC36">
        <v>2</v>
      </c>
      <c r="BD36" t="b">
        <v>0</v>
      </c>
      <c r="BE36">
        <v>1750959996.349999</v>
      </c>
      <c r="BF36">
        <v>414.8439999999999</v>
      </c>
      <c r="BG36">
        <v>405.0033666666667</v>
      </c>
      <c r="BH36">
        <v>15.20779</v>
      </c>
      <c r="BI36">
        <v>18.85313666666667</v>
      </c>
      <c r="BJ36">
        <v>413.6069999999999</v>
      </c>
      <c r="BK36">
        <v>15.17134333333333</v>
      </c>
      <c r="BL36">
        <v>799.9581000000001</v>
      </c>
      <c r="BM36">
        <v>101.2235333333333</v>
      </c>
      <c r="BN36">
        <v>0.04353546</v>
      </c>
      <c r="BO36">
        <v>26.46249333333334</v>
      </c>
      <c r="BP36">
        <v>25.69991666666666</v>
      </c>
      <c r="BQ36">
        <v>999.9000000000002</v>
      </c>
      <c r="BR36">
        <v>0</v>
      </c>
      <c r="BS36">
        <v>0</v>
      </c>
      <c r="BT36">
        <v>9994.238666666668</v>
      </c>
      <c r="BU36">
        <v>0</v>
      </c>
      <c r="BV36">
        <v>0.001534992</v>
      </c>
      <c r="BW36">
        <v>9.807099999999998</v>
      </c>
      <c r="BX36">
        <v>421.2163666666668</v>
      </c>
      <c r="BY36">
        <v>412.7858333333334</v>
      </c>
      <c r="BZ36">
        <v>-3.645335666666667</v>
      </c>
      <c r="CA36">
        <v>405.0033666666667</v>
      </c>
      <c r="CB36">
        <v>18.85313666666667</v>
      </c>
      <c r="CC36">
        <v>1.539388</v>
      </c>
      <c r="CD36">
        <v>1.908382666666667</v>
      </c>
      <c r="CE36">
        <v>13.36508666666667</v>
      </c>
      <c r="CF36">
        <v>16.70400666666667</v>
      </c>
      <c r="CG36">
        <v>999.9894333333334</v>
      </c>
      <c r="CH36">
        <v>0.9599989333333336</v>
      </c>
      <c r="CI36">
        <v>0.04000071333333333</v>
      </c>
      <c r="CJ36">
        <v>0</v>
      </c>
      <c r="CK36">
        <v>1.619666666666667</v>
      </c>
      <c r="CL36">
        <v>0</v>
      </c>
      <c r="CM36">
        <v>4996.664666666667</v>
      </c>
      <c r="CN36">
        <v>7946.827000000001</v>
      </c>
      <c r="CO36">
        <v>35.99139999999999</v>
      </c>
      <c r="CP36">
        <v>40.05386666666665</v>
      </c>
      <c r="CQ36">
        <v>37.47893333333332</v>
      </c>
      <c r="CR36">
        <v>38.88306666666666</v>
      </c>
      <c r="CS36">
        <v>36.5498</v>
      </c>
      <c r="CT36">
        <v>959.989</v>
      </c>
      <c r="CU36">
        <v>40</v>
      </c>
      <c r="CV36">
        <v>0</v>
      </c>
      <c r="CW36">
        <v>1750960021.1</v>
      </c>
      <c r="CX36">
        <v>0</v>
      </c>
      <c r="CY36">
        <v>1750960029.1</v>
      </c>
      <c r="CZ36" t="s">
        <v>416</v>
      </c>
      <c r="DA36">
        <v>1750960029.1</v>
      </c>
      <c r="DB36">
        <v>1750959850.6</v>
      </c>
      <c r="DC36">
        <v>20</v>
      </c>
      <c r="DD36">
        <v>0.029</v>
      </c>
      <c r="DE36">
        <v>0.001</v>
      </c>
      <c r="DF36">
        <v>1.237</v>
      </c>
      <c r="DG36">
        <v>0.163</v>
      </c>
      <c r="DH36">
        <v>405</v>
      </c>
      <c r="DI36">
        <v>19</v>
      </c>
      <c r="DJ36">
        <v>0.1</v>
      </c>
      <c r="DK36">
        <v>0.19</v>
      </c>
      <c r="DL36">
        <v>9.810436249999999</v>
      </c>
      <c r="DM36">
        <v>-0.1570535459662542</v>
      </c>
      <c r="DN36">
        <v>0.0347100671770813</v>
      </c>
      <c r="DO36">
        <v>0</v>
      </c>
      <c r="DP36">
        <v>-3.662497000000001</v>
      </c>
      <c r="DQ36">
        <v>0.2952643902439085</v>
      </c>
      <c r="DR36">
        <v>0.02967660292216749</v>
      </c>
      <c r="DS36">
        <v>0</v>
      </c>
      <c r="DT36">
        <v>0</v>
      </c>
      <c r="DU36">
        <v>2</v>
      </c>
      <c r="DV36" t="s">
        <v>362</v>
      </c>
      <c r="DW36">
        <v>3.45049</v>
      </c>
      <c r="DX36">
        <v>2.72542</v>
      </c>
      <c r="DY36">
        <v>0.0990259</v>
      </c>
      <c r="DZ36">
        <v>0.0974912</v>
      </c>
      <c r="EA36">
        <v>0.08618389999999999</v>
      </c>
      <c r="EB36">
        <v>0.099839</v>
      </c>
      <c r="EC36">
        <v>27121.9</v>
      </c>
      <c r="ED36">
        <v>30939.1</v>
      </c>
      <c r="EE36">
        <v>29241.3</v>
      </c>
      <c r="EF36">
        <v>34871</v>
      </c>
      <c r="EG36">
        <v>30915</v>
      </c>
      <c r="EH36">
        <v>38958.6</v>
      </c>
      <c r="EI36">
        <v>36005.5</v>
      </c>
      <c r="EJ36">
        <v>46148.2</v>
      </c>
      <c r="EK36">
        <v>0.289</v>
      </c>
      <c r="EL36">
        <v>2.23353</v>
      </c>
      <c r="EM36">
        <v>0.0509992</v>
      </c>
      <c r="EN36">
        <v>0</v>
      </c>
      <c r="EO36">
        <v>24.9008</v>
      </c>
      <c r="EP36">
        <v>999.9</v>
      </c>
      <c r="EQ36">
        <v>63.9</v>
      </c>
      <c r="ER36">
        <v>26.1</v>
      </c>
      <c r="ES36">
        <v>21.4273</v>
      </c>
      <c r="ET36">
        <v>61.8847</v>
      </c>
      <c r="EU36">
        <v>21.8069</v>
      </c>
      <c r="EV36">
        <v>2</v>
      </c>
      <c r="EW36">
        <v>-0.227119</v>
      </c>
      <c r="EX36">
        <v>0</v>
      </c>
      <c r="EY36">
        <v>20.296</v>
      </c>
      <c r="EZ36">
        <v>5.21684</v>
      </c>
      <c r="FA36">
        <v>11.968</v>
      </c>
      <c r="FB36">
        <v>4.9918</v>
      </c>
      <c r="FC36">
        <v>3.272</v>
      </c>
      <c r="FD36">
        <v>3142.4</v>
      </c>
      <c r="FE36">
        <v>9999</v>
      </c>
      <c r="FF36">
        <v>9999</v>
      </c>
      <c r="FG36">
        <v>999.9</v>
      </c>
      <c r="FH36">
        <v>4.97265</v>
      </c>
      <c r="FI36">
        <v>1.86279</v>
      </c>
      <c r="FJ36">
        <v>1.86453</v>
      </c>
      <c r="FK36">
        <v>1.86298</v>
      </c>
      <c r="FL36">
        <v>1.86296</v>
      </c>
      <c r="FM36">
        <v>1.86356</v>
      </c>
      <c r="FN36">
        <v>1.86005</v>
      </c>
      <c r="FO36">
        <v>1.86282</v>
      </c>
      <c r="FP36">
        <v>0</v>
      </c>
      <c r="FQ36">
        <v>0</v>
      </c>
      <c r="FR36">
        <v>0</v>
      </c>
      <c r="FS36">
        <v>0</v>
      </c>
      <c r="FT36" t="s">
        <v>356</v>
      </c>
      <c r="FU36" t="s">
        <v>357</v>
      </c>
      <c r="FV36" t="s">
        <v>358</v>
      </c>
      <c r="FW36" t="s">
        <v>358</v>
      </c>
      <c r="FX36" t="s">
        <v>358</v>
      </c>
      <c r="FY36" t="s">
        <v>358</v>
      </c>
      <c r="FZ36">
        <v>0</v>
      </c>
      <c r="GA36">
        <v>100</v>
      </c>
      <c r="GB36">
        <v>100</v>
      </c>
      <c r="GC36">
        <v>1.237</v>
      </c>
      <c r="GD36">
        <v>0.0375</v>
      </c>
      <c r="GE36">
        <v>1.490937069547424</v>
      </c>
      <c r="GF36">
        <v>-0.001033730503750798</v>
      </c>
      <c r="GG36">
        <v>9.120241388950126E-07</v>
      </c>
      <c r="GH36">
        <v>-2.246115299815222E-10</v>
      </c>
      <c r="GI36">
        <v>-0.1030595540683317</v>
      </c>
      <c r="GJ36">
        <v>-0.01814858093373864</v>
      </c>
      <c r="GK36">
        <v>0.002091959988359369</v>
      </c>
      <c r="GL36">
        <v>-1.90871700788604E-05</v>
      </c>
      <c r="GM36">
        <v>2</v>
      </c>
      <c r="GN36">
        <v>2210</v>
      </c>
      <c r="GO36">
        <v>1</v>
      </c>
      <c r="GP36">
        <v>26</v>
      </c>
      <c r="GQ36">
        <v>2.4</v>
      </c>
      <c r="GR36">
        <v>2.6</v>
      </c>
      <c r="GS36">
        <v>1.26709</v>
      </c>
      <c r="GT36">
        <v>2.36206</v>
      </c>
      <c r="GU36">
        <v>2.34741</v>
      </c>
      <c r="GV36">
        <v>2.72827</v>
      </c>
      <c r="GW36">
        <v>2.39868</v>
      </c>
      <c r="GX36">
        <v>2.29126</v>
      </c>
      <c r="GY36">
        <v>31.477</v>
      </c>
      <c r="GZ36">
        <v>15.9358</v>
      </c>
      <c r="HA36">
        <v>18</v>
      </c>
      <c r="HB36">
        <v>-1.84305</v>
      </c>
      <c r="HC36">
        <v>652.274</v>
      </c>
      <c r="HD36">
        <v>25.7913</v>
      </c>
      <c r="HE36">
        <v>24.6606</v>
      </c>
      <c r="HF36">
        <v>30.0004</v>
      </c>
      <c r="HG36">
        <v>24.6669</v>
      </c>
      <c r="HH36">
        <v>24.386</v>
      </c>
      <c r="HI36">
        <v>25.4251</v>
      </c>
      <c r="HJ36">
        <v>19.6363</v>
      </c>
      <c r="HK36">
        <v>83.133</v>
      </c>
      <c r="HL36">
        <v>-999.9</v>
      </c>
      <c r="HM36">
        <v>405</v>
      </c>
      <c r="HN36">
        <v>18.7924</v>
      </c>
      <c r="HO36">
        <v>100.413</v>
      </c>
      <c r="HP36">
        <v>100.775</v>
      </c>
    </row>
    <row r="37" spans="1:224">
      <c r="A37">
        <v>21</v>
      </c>
      <c r="B37">
        <v>1750960119.1</v>
      </c>
      <c r="C37">
        <v>2848.099999904633</v>
      </c>
      <c r="D37" t="s">
        <v>417</v>
      </c>
      <c r="E37" t="s">
        <v>418</v>
      </c>
      <c r="F37">
        <v>15</v>
      </c>
      <c r="G37">
        <v>1750960111.099999</v>
      </c>
      <c r="H37">
        <f>(I37)/1000</f>
        <v>0</v>
      </c>
      <c r="I37">
        <f>IF(BD37, AL37, AF37)</f>
        <v>0</v>
      </c>
      <c r="J37">
        <f>IF(BD37, AG37, AE37)</f>
        <v>0</v>
      </c>
      <c r="K37">
        <f>BF37 - IF(AS37&gt;1, J37*AZ37*100.0/(AU37), 0)</f>
        <v>0</v>
      </c>
      <c r="L37">
        <f>((R37-H37/2)*K37-J37)/(R37+H37/2)</f>
        <v>0</v>
      </c>
      <c r="M37">
        <f>L37*(BM37+BN37)/1000.0</f>
        <v>0</v>
      </c>
      <c r="N37">
        <f>(BF37 - IF(AS37&gt;1, J37*AZ37*100.0/(AU37), 0))*(BM37+BN37)/1000.0</f>
        <v>0</v>
      </c>
      <c r="O37">
        <f>2.0/((1/Q37-1/P37)+SIGN(Q37)*SQRT((1/Q37-1/P37)*(1/Q37-1/P37) + 4*BA37/((BA37+1)*(BA37+1))*(2*1/Q37*1/P37-1/P37*1/P37)))</f>
        <v>0</v>
      </c>
      <c r="P37">
        <f>IF(LEFT(BB37,1)&lt;&gt;"0",IF(LEFT(BB37,1)="1",3.0,BC37),$D$5+$E$5*(BT37*BM37/($K$5*1000))+$F$5*(BT37*BM37/($K$5*1000))*MAX(MIN(AZ37,$J$5),$I$5)*MAX(MIN(AZ37,$J$5),$I$5)+$G$5*MAX(MIN(AZ37,$J$5),$I$5)*(BT37*BM37/($K$5*1000))+$H$5*(BT37*BM37/($K$5*1000))*(BT37*BM37/($K$5*1000)))</f>
        <v>0</v>
      </c>
      <c r="Q37">
        <f>H37*(1000-(1000*0.61365*exp(17.502*U37/(240.97+U37))/(BM37+BN37)+BH37)/2)/(1000*0.61365*exp(17.502*U37/(240.97+U37))/(BM37+BN37)-BH37)</f>
        <v>0</v>
      </c>
      <c r="R37">
        <f>1/((BA37+1)/(O37/1.6)+1/(P37/1.37)) + BA37/((BA37+1)/(O37/1.6) + BA37/(P37/1.37))</f>
        <v>0</v>
      </c>
      <c r="S37">
        <f>(AV37*AY37)</f>
        <v>0</v>
      </c>
      <c r="T37">
        <f>(BO37+(S37+2*0.95*5.67E-8*(((BO37+$B$7)+273)^4-(BO37+273)^4)-44100*H37)/(1.84*29.3*P37+8*0.95*5.67E-8*(BO37+273)^3))</f>
        <v>0</v>
      </c>
      <c r="U37">
        <f>($C$7*BP37+$D$7*BQ37+$E$7*T37)</f>
        <v>0</v>
      </c>
      <c r="V37">
        <f>0.61365*exp(17.502*U37/(240.97+U37))</f>
        <v>0</v>
      </c>
      <c r="W37">
        <f>(X37/Y37*100)</f>
        <v>0</v>
      </c>
      <c r="X37">
        <f>BH37*(BM37+BN37)/1000</f>
        <v>0</v>
      </c>
      <c r="Y37">
        <f>0.61365*exp(17.502*BO37/(240.97+BO37))</f>
        <v>0</v>
      </c>
      <c r="Z37">
        <f>(V37-BH37*(BM37+BN37)/1000)</f>
        <v>0</v>
      </c>
      <c r="AA37">
        <f>(-H37*44100)</f>
        <v>0</v>
      </c>
      <c r="AB37">
        <f>2*29.3*P37*0.92*(BO37-U37)</f>
        <v>0</v>
      </c>
      <c r="AC37">
        <f>2*0.95*5.67E-8*(((BO37+$B$7)+273)^4-(U37+273)^4)</f>
        <v>0</v>
      </c>
      <c r="AD37">
        <f>S37+AC37+AA37+AB37</f>
        <v>0</v>
      </c>
      <c r="AE37">
        <f>BL37*AS37*(BG37-BF37*(1000-AS37*BI37)/(1000-AS37*BH37))/(100*AZ37)</f>
        <v>0</v>
      </c>
      <c r="AF37">
        <f>1000*BL37*AS37*(BH37-BI37)/(100*AZ37*(1000-AS37*BH37))</f>
        <v>0</v>
      </c>
      <c r="AG37">
        <f>(AH37 - AI37 - BM37*1E3/(8.314*(BO37+273.15)) * AK37/BL37 * AJ37) * BL37/(100*AZ37) * (1000 - BI37)/1000</f>
        <v>0</v>
      </c>
      <c r="AH37">
        <v>412.5922514431924</v>
      </c>
      <c r="AI37">
        <v>409.693612121212</v>
      </c>
      <c r="AJ37">
        <v>0.001013941618098079</v>
      </c>
      <c r="AK37">
        <v>66.95042144326699</v>
      </c>
      <c r="AL37">
        <f>(AN37 - AM37 + BM37*1E3/(8.314*(BO37+273.15)) * AP37/BL37 * AO37) * BL37/(100*AZ37) * 1000/(1000 - AN37)</f>
        <v>0</v>
      </c>
      <c r="AM37">
        <v>18.37653174145194</v>
      </c>
      <c r="AN37">
        <v>18.86785515151515</v>
      </c>
      <c r="AO37">
        <v>0.0003519850625997638</v>
      </c>
      <c r="AP37">
        <v>79.34525683677295</v>
      </c>
      <c r="AQ37">
        <v>0</v>
      </c>
      <c r="AR37">
        <v>0</v>
      </c>
      <c r="AS37">
        <f>IF(AQ37*$H$13&gt;=AU37,1.0,(AU37/(AU37-AQ37*$H$13)))</f>
        <v>0</v>
      </c>
      <c r="AT37">
        <f>(AS37-1)*100</f>
        <v>0</v>
      </c>
      <c r="AU37">
        <f>MAX(0,($B$13+$C$13*BT37)/(1+$D$13*BT37)*BM37/(BO37+273)*$E$13)</f>
        <v>0</v>
      </c>
      <c r="AV37">
        <f>$B$11*BU37+$C$11*BV37+$F$11*CG37*(1-CJ37)</f>
        <v>0</v>
      </c>
      <c r="AW37">
        <f>AV37*AX37</f>
        <v>0</v>
      </c>
      <c r="AX37">
        <f>($B$11*$D$9+$C$11*$D$9+$F$11*((CT37+CL37)/MAX(CT37+CL37+CU37, 0.1)*$I$9+CU37/MAX(CT37+CL37+CU37, 0.1)*$J$9))/($B$11+$C$11+$F$11)</f>
        <v>0</v>
      </c>
      <c r="AY37">
        <f>($B$11*$K$9+$C$11*$K$9+$F$11*((CT37+CL37)/MAX(CT37+CL37+CU37, 0.1)*$P$9+CU37/MAX(CT37+CL37+CU37, 0.1)*$Q$9))/($B$11+$C$11+$F$11)</f>
        <v>0</v>
      </c>
      <c r="AZ37">
        <v>6</v>
      </c>
      <c r="BA37">
        <v>0.5</v>
      </c>
      <c r="BB37" t="s">
        <v>353</v>
      </c>
      <c r="BC37">
        <v>2</v>
      </c>
      <c r="BD37" t="b">
        <v>0</v>
      </c>
      <c r="BE37">
        <v>1750960111.099999</v>
      </c>
      <c r="BF37">
        <v>402.0011290322581</v>
      </c>
      <c r="BG37">
        <v>405.011870967742</v>
      </c>
      <c r="BH37">
        <v>18.83864516129032</v>
      </c>
      <c r="BI37">
        <v>18.35947096774193</v>
      </c>
      <c r="BJ37">
        <v>400.7441290322581</v>
      </c>
      <c r="BK37">
        <v>18.69764516129032</v>
      </c>
      <c r="BL37">
        <v>799.977935483871</v>
      </c>
      <c r="BM37">
        <v>101.2313548387096</v>
      </c>
      <c r="BN37">
        <v>0.09984274516129034</v>
      </c>
      <c r="BO37">
        <v>26.60619677419355</v>
      </c>
      <c r="BP37">
        <v>26.49814193548387</v>
      </c>
      <c r="BQ37">
        <v>999.9000000000003</v>
      </c>
      <c r="BR37">
        <v>0</v>
      </c>
      <c r="BS37">
        <v>0</v>
      </c>
      <c r="BT37">
        <v>9990.702580645162</v>
      </c>
      <c r="BU37">
        <v>0</v>
      </c>
      <c r="BV37">
        <v>0.00152894</v>
      </c>
      <c r="BW37">
        <v>-3.029608387096774</v>
      </c>
      <c r="BX37">
        <v>409.7100322580646</v>
      </c>
      <c r="BY37">
        <v>412.5866774193548</v>
      </c>
      <c r="BZ37">
        <v>0.5023558709677419</v>
      </c>
      <c r="CA37">
        <v>405.011870967742</v>
      </c>
      <c r="CB37">
        <v>18.35947096774193</v>
      </c>
      <c r="CC37">
        <v>1.909408709677419</v>
      </c>
      <c r="CD37">
        <v>1.858554193548387</v>
      </c>
      <c r="CE37">
        <v>16.71246129032258</v>
      </c>
      <c r="CF37">
        <v>16.28815483870968</v>
      </c>
      <c r="CG37">
        <v>999.9744193548388</v>
      </c>
      <c r="CH37">
        <v>0.9600101612903227</v>
      </c>
      <c r="CI37">
        <v>0.03998964193548388</v>
      </c>
      <c r="CJ37">
        <v>0</v>
      </c>
      <c r="CK37">
        <v>2.551451612903226</v>
      </c>
      <c r="CL37">
        <v>0</v>
      </c>
      <c r="CM37">
        <v>5921.172258064516</v>
      </c>
      <c r="CN37">
        <v>7946.745483870966</v>
      </c>
      <c r="CO37">
        <v>37.36664516129031</v>
      </c>
      <c r="CP37">
        <v>41.92516129032258</v>
      </c>
      <c r="CQ37">
        <v>38.94738709677419</v>
      </c>
      <c r="CR37">
        <v>41.1086451612903</v>
      </c>
      <c r="CS37">
        <v>37.88477419354837</v>
      </c>
      <c r="CT37">
        <v>959.9858064516127</v>
      </c>
      <c r="CU37">
        <v>39.98967741935484</v>
      </c>
      <c r="CV37">
        <v>0</v>
      </c>
      <c r="CW37">
        <v>1750960136.3</v>
      </c>
      <c r="CX37">
        <v>0</v>
      </c>
      <c r="CY37">
        <v>1750960136.1</v>
      </c>
      <c r="CZ37" t="s">
        <v>419</v>
      </c>
      <c r="DA37">
        <v>1750960136.1</v>
      </c>
      <c r="DB37">
        <v>1750960136.1</v>
      </c>
      <c r="DC37">
        <v>21</v>
      </c>
      <c r="DD37">
        <v>0.021</v>
      </c>
      <c r="DE37">
        <v>-0.008</v>
      </c>
      <c r="DF37">
        <v>1.257</v>
      </c>
      <c r="DG37">
        <v>0.141</v>
      </c>
      <c r="DH37">
        <v>405</v>
      </c>
      <c r="DI37">
        <v>18</v>
      </c>
      <c r="DJ37">
        <v>0.23</v>
      </c>
      <c r="DK37">
        <v>0.18</v>
      </c>
      <c r="DL37">
        <v>-3.025240975609757</v>
      </c>
      <c r="DM37">
        <v>-0.1104533101045262</v>
      </c>
      <c r="DN37">
        <v>0.02484743789165985</v>
      </c>
      <c r="DO37">
        <v>0</v>
      </c>
      <c r="DP37">
        <v>0.5100668780487805</v>
      </c>
      <c r="DQ37">
        <v>-0.1369023972125436</v>
      </c>
      <c r="DR37">
        <v>0.01633814048916414</v>
      </c>
      <c r="DS37">
        <v>0</v>
      </c>
      <c r="DT37">
        <v>0</v>
      </c>
      <c r="DU37">
        <v>2</v>
      </c>
      <c r="DV37" t="s">
        <v>362</v>
      </c>
      <c r="DW37">
        <v>3.45026</v>
      </c>
      <c r="DX37">
        <v>2.78093</v>
      </c>
      <c r="DY37">
        <v>0.09673470000000001</v>
      </c>
      <c r="DZ37">
        <v>0.09746630000000001</v>
      </c>
      <c r="EA37">
        <v>0.100302</v>
      </c>
      <c r="EB37">
        <v>0.09801890000000001</v>
      </c>
      <c r="EC37">
        <v>27186.5</v>
      </c>
      <c r="ED37">
        <v>30935.6</v>
      </c>
      <c r="EE37">
        <v>29236.9</v>
      </c>
      <c r="EF37">
        <v>34866.6</v>
      </c>
      <c r="EG37">
        <v>30425</v>
      </c>
      <c r="EH37">
        <v>39033</v>
      </c>
      <c r="EI37">
        <v>35999</v>
      </c>
      <c r="EJ37">
        <v>46142.8</v>
      </c>
      <c r="EK37">
        <v>2.53207</v>
      </c>
      <c r="EL37">
        <v>2.22968</v>
      </c>
      <c r="EM37">
        <v>0.09439889999999999</v>
      </c>
      <c r="EN37">
        <v>0</v>
      </c>
      <c r="EO37">
        <v>24.9856</v>
      </c>
      <c r="EP37">
        <v>999.9</v>
      </c>
      <c r="EQ37">
        <v>64.09999999999999</v>
      </c>
      <c r="ER37">
        <v>26.2</v>
      </c>
      <c r="ES37">
        <v>21.6212</v>
      </c>
      <c r="ET37">
        <v>61.8147</v>
      </c>
      <c r="EU37">
        <v>25.4888</v>
      </c>
      <c r="EV37">
        <v>2</v>
      </c>
      <c r="EW37">
        <v>-0.220234</v>
      </c>
      <c r="EX37">
        <v>0</v>
      </c>
      <c r="EY37">
        <v>20.2953</v>
      </c>
      <c r="EZ37">
        <v>5.2113</v>
      </c>
      <c r="FA37">
        <v>11.968</v>
      </c>
      <c r="FB37">
        <v>4.9908</v>
      </c>
      <c r="FC37">
        <v>3.272</v>
      </c>
      <c r="FD37">
        <v>3145.9</v>
      </c>
      <c r="FE37">
        <v>9999</v>
      </c>
      <c r="FF37">
        <v>9999</v>
      </c>
      <c r="FG37">
        <v>999.9</v>
      </c>
      <c r="FH37">
        <v>4.97262</v>
      </c>
      <c r="FI37">
        <v>1.86279</v>
      </c>
      <c r="FJ37">
        <v>1.8646</v>
      </c>
      <c r="FK37">
        <v>1.86299</v>
      </c>
      <c r="FL37">
        <v>1.86297</v>
      </c>
      <c r="FM37">
        <v>1.86356</v>
      </c>
      <c r="FN37">
        <v>1.86005</v>
      </c>
      <c r="FO37">
        <v>1.86286</v>
      </c>
      <c r="FP37">
        <v>0</v>
      </c>
      <c r="FQ37">
        <v>0</v>
      </c>
      <c r="FR37">
        <v>0</v>
      </c>
      <c r="FS37">
        <v>0</v>
      </c>
      <c r="FT37" t="s">
        <v>356</v>
      </c>
      <c r="FU37" t="s">
        <v>357</v>
      </c>
      <c r="FV37" t="s">
        <v>358</v>
      </c>
      <c r="FW37" t="s">
        <v>358</v>
      </c>
      <c r="FX37" t="s">
        <v>358</v>
      </c>
      <c r="FY37" t="s">
        <v>358</v>
      </c>
      <c r="FZ37">
        <v>0</v>
      </c>
      <c r="GA37">
        <v>100</v>
      </c>
      <c r="GB37">
        <v>100</v>
      </c>
      <c r="GC37">
        <v>1.257</v>
      </c>
      <c r="GD37">
        <v>0.141</v>
      </c>
      <c r="GE37">
        <v>1.520196717237497</v>
      </c>
      <c r="GF37">
        <v>-0.001033730503750798</v>
      </c>
      <c r="GG37">
        <v>9.120241388950126E-07</v>
      </c>
      <c r="GH37">
        <v>-2.246115299815222E-10</v>
      </c>
      <c r="GI37">
        <v>-0.1030595540683317</v>
      </c>
      <c r="GJ37">
        <v>-0.01814858093373864</v>
      </c>
      <c r="GK37">
        <v>0.002091959988359369</v>
      </c>
      <c r="GL37">
        <v>-1.90871700788604E-05</v>
      </c>
      <c r="GM37">
        <v>2</v>
      </c>
      <c r="GN37">
        <v>2210</v>
      </c>
      <c r="GO37">
        <v>1</v>
      </c>
      <c r="GP37">
        <v>26</v>
      </c>
      <c r="GQ37">
        <v>1.5</v>
      </c>
      <c r="GR37">
        <v>4.5</v>
      </c>
      <c r="GS37">
        <v>1.26709</v>
      </c>
      <c r="GT37">
        <v>2.3645</v>
      </c>
      <c r="GU37">
        <v>2.34741</v>
      </c>
      <c r="GV37">
        <v>2.72583</v>
      </c>
      <c r="GW37">
        <v>2.39868</v>
      </c>
      <c r="GX37">
        <v>2.29248</v>
      </c>
      <c r="GY37">
        <v>31.6298</v>
      </c>
      <c r="GZ37">
        <v>15.927</v>
      </c>
      <c r="HA37">
        <v>18</v>
      </c>
      <c r="HB37">
        <v>837.7430000000001</v>
      </c>
      <c r="HC37">
        <v>650.489</v>
      </c>
      <c r="HD37">
        <v>25.8855</v>
      </c>
      <c r="HE37">
        <v>24.7624</v>
      </c>
      <c r="HF37">
        <v>30.0004</v>
      </c>
      <c r="HG37">
        <v>24.5474</v>
      </c>
      <c r="HH37">
        <v>24.4945</v>
      </c>
      <c r="HI37">
        <v>25.4205</v>
      </c>
      <c r="HJ37">
        <v>22.1864</v>
      </c>
      <c r="HK37">
        <v>84.65089999999999</v>
      </c>
      <c r="HL37">
        <v>-999.9</v>
      </c>
      <c r="HM37">
        <v>405</v>
      </c>
      <c r="HN37">
        <v>18.476</v>
      </c>
      <c r="HO37">
        <v>100.396</v>
      </c>
      <c r="HP37">
        <v>100.763</v>
      </c>
    </row>
    <row r="38" spans="1:224">
      <c r="A38">
        <v>22</v>
      </c>
      <c r="B38">
        <v>1750960235.1</v>
      </c>
      <c r="C38">
        <v>2964.099999904633</v>
      </c>
      <c r="D38" t="s">
        <v>420</v>
      </c>
      <c r="E38" t="s">
        <v>421</v>
      </c>
      <c r="F38">
        <v>15</v>
      </c>
      <c r="G38">
        <v>1750960227.099999</v>
      </c>
      <c r="H38">
        <f>(I38)/1000</f>
        <v>0</v>
      </c>
      <c r="I38">
        <f>IF(BD38, AL38, AF38)</f>
        <v>0</v>
      </c>
      <c r="J38">
        <f>IF(BD38, AG38, AE38)</f>
        <v>0</v>
      </c>
      <c r="K38">
        <f>BF38 - IF(AS38&gt;1, J38*AZ38*100.0/(AU38), 0)</f>
        <v>0</v>
      </c>
      <c r="L38">
        <f>((R38-H38/2)*K38-J38)/(R38+H38/2)</f>
        <v>0</v>
      </c>
      <c r="M38">
        <f>L38*(BM38+BN38)/1000.0</f>
        <v>0</v>
      </c>
      <c r="N38">
        <f>(BF38 - IF(AS38&gt;1, J38*AZ38*100.0/(AU38), 0))*(BM38+BN38)/1000.0</f>
        <v>0</v>
      </c>
      <c r="O38">
        <f>2.0/((1/Q38-1/P38)+SIGN(Q38)*SQRT((1/Q38-1/P38)*(1/Q38-1/P38) + 4*BA38/((BA38+1)*(BA38+1))*(2*1/Q38*1/P38-1/P38*1/P38)))</f>
        <v>0</v>
      </c>
      <c r="P38">
        <f>IF(LEFT(BB38,1)&lt;&gt;"0",IF(LEFT(BB38,1)="1",3.0,BC38),$D$5+$E$5*(BT38*BM38/($K$5*1000))+$F$5*(BT38*BM38/($K$5*1000))*MAX(MIN(AZ38,$J$5),$I$5)*MAX(MIN(AZ38,$J$5),$I$5)+$G$5*MAX(MIN(AZ38,$J$5),$I$5)*(BT38*BM38/($K$5*1000))+$H$5*(BT38*BM38/($K$5*1000))*(BT38*BM38/($K$5*1000)))</f>
        <v>0</v>
      </c>
      <c r="Q38">
        <f>H38*(1000-(1000*0.61365*exp(17.502*U38/(240.97+U38))/(BM38+BN38)+BH38)/2)/(1000*0.61365*exp(17.502*U38/(240.97+U38))/(BM38+BN38)-BH38)</f>
        <v>0</v>
      </c>
      <c r="R38">
        <f>1/((BA38+1)/(O38/1.6)+1/(P38/1.37)) + BA38/((BA38+1)/(O38/1.6) + BA38/(P38/1.37))</f>
        <v>0</v>
      </c>
      <c r="S38">
        <f>(AV38*AY38)</f>
        <v>0</v>
      </c>
      <c r="T38">
        <f>(BO38+(S38+2*0.95*5.67E-8*(((BO38+$B$7)+273)^4-(BO38+273)^4)-44100*H38)/(1.84*29.3*P38+8*0.95*5.67E-8*(BO38+273)^3))</f>
        <v>0</v>
      </c>
      <c r="U38">
        <f>($C$7*BP38+$D$7*BQ38+$E$7*T38)</f>
        <v>0</v>
      </c>
      <c r="V38">
        <f>0.61365*exp(17.502*U38/(240.97+U38))</f>
        <v>0</v>
      </c>
      <c r="W38">
        <f>(X38/Y38*100)</f>
        <v>0</v>
      </c>
      <c r="X38">
        <f>BH38*(BM38+BN38)/1000</f>
        <v>0</v>
      </c>
      <c r="Y38">
        <f>0.61365*exp(17.502*BO38/(240.97+BO38))</f>
        <v>0</v>
      </c>
      <c r="Z38">
        <f>(V38-BH38*(BM38+BN38)/1000)</f>
        <v>0</v>
      </c>
      <c r="AA38">
        <f>(-H38*44100)</f>
        <v>0</v>
      </c>
      <c r="AB38">
        <f>2*29.3*P38*0.92*(BO38-U38)</f>
        <v>0</v>
      </c>
      <c r="AC38">
        <f>2*0.95*5.67E-8*(((BO38+$B$7)+273)^4-(U38+273)^4)</f>
        <v>0</v>
      </c>
      <c r="AD38">
        <f>S38+AC38+AA38+AB38</f>
        <v>0</v>
      </c>
      <c r="AE38">
        <f>BL38*AS38*(BG38-BF38*(1000-AS38*BI38)/(1000-AS38*BH38))/(100*AZ38)</f>
        <v>0</v>
      </c>
      <c r="AF38">
        <f>1000*BL38*AS38*(BH38-BI38)/(100*AZ38*(1000-AS38*BH38))</f>
        <v>0</v>
      </c>
      <c r="AG38">
        <f>(AH38 - AI38 - BM38*1E3/(8.314*(BO38+273.15)) * AK38/BL38 * AJ38) * BL38/(100*AZ38) * (1000 - BI38)/1000</f>
        <v>0</v>
      </c>
      <c r="AH38">
        <v>412.361655483322</v>
      </c>
      <c r="AI38">
        <v>406.4250242424241</v>
      </c>
      <c r="AJ38">
        <v>-0.0115905479137175</v>
      </c>
      <c r="AK38">
        <v>66.94981470596784</v>
      </c>
      <c r="AL38">
        <f>(AN38 - AM38 + BM38*1E3/(8.314*(BO38+273.15)) * AP38/BL38 * AO38) * BL38/(100*AZ38) * 1000/(1000 - AN38)</f>
        <v>0</v>
      </c>
      <c r="AM38">
        <v>17.83198941024068</v>
      </c>
      <c r="AN38">
        <v>18.91299999999999</v>
      </c>
      <c r="AO38">
        <v>-7.367551747272179E-05</v>
      </c>
      <c r="AP38">
        <v>79.36039857887343</v>
      </c>
      <c r="AQ38">
        <v>109</v>
      </c>
      <c r="AR38">
        <v>14</v>
      </c>
      <c r="AS38">
        <f>IF(AQ38*$H$13&gt;=AU38,1.0,(AU38/(AU38-AQ38*$H$13)))</f>
        <v>0</v>
      </c>
      <c r="AT38">
        <f>(AS38-1)*100</f>
        <v>0</v>
      </c>
      <c r="AU38">
        <f>MAX(0,($B$13+$C$13*BT38)/(1+$D$13*BT38)*BM38/(BO38+273)*$E$13)</f>
        <v>0</v>
      </c>
      <c r="AV38">
        <f>$B$11*BU38+$C$11*BV38+$F$11*CG38*(1-CJ38)</f>
        <v>0</v>
      </c>
      <c r="AW38">
        <f>AV38*AX38</f>
        <v>0</v>
      </c>
      <c r="AX38">
        <f>($B$11*$D$9+$C$11*$D$9+$F$11*((CT38+CL38)/MAX(CT38+CL38+CU38, 0.1)*$I$9+CU38/MAX(CT38+CL38+CU38, 0.1)*$J$9))/($B$11+$C$11+$F$11)</f>
        <v>0</v>
      </c>
      <c r="AY38">
        <f>($B$11*$K$9+$C$11*$K$9+$F$11*((CT38+CL38)/MAX(CT38+CL38+CU38, 0.1)*$P$9+CU38/MAX(CT38+CL38+CU38, 0.1)*$Q$9))/($B$11+$C$11+$F$11)</f>
        <v>0</v>
      </c>
      <c r="AZ38">
        <v>6</v>
      </c>
      <c r="BA38">
        <v>0.5</v>
      </c>
      <c r="BB38" t="s">
        <v>353</v>
      </c>
      <c r="BC38">
        <v>2</v>
      </c>
      <c r="BD38" t="b">
        <v>0</v>
      </c>
      <c r="BE38">
        <v>1750960227.099999</v>
      </c>
      <c r="BF38">
        <v>398.7743548387096</v>
      </c>
      <c r="BG38">
        <v>405.0216451612903</v>
      </c>
      <c r="BH38">
        <v>18.92995483870967</v>
      </c>
      <c r="BI38">
        <v>17.83216451612903</v>
      </c>
      <c r="BJ38">
        <v>397.5193548387096</v>
      </c>
      <c r="BK38">
        <v>18.77075161290323</v>
      </c>
      <c r="BL38">
        <v>799.9965806451615</v>
      </c>
      <c r="BM38">
        <v>101.2308387096774</v>
      </c>
      <c r="BN38">
        <v>0.1003046870967742</v>
      </c>
      <c r="BO38">
        <v>26.61606129032258</v>
      </c>
      <c r="BP38">
        <v>26.17395483870968</v>
      </c>
      <c r="BQ38">
        <v>999.9000000000003</v>
      </c>
      <c r="BR38">
        <v>0</v>
      </c>
      <c r="BS38">
        <v>0</v>
      </c>
      <c r="BT38">
        <v>9980.86193548387</v>
      </c>
      <c r="BU38">
        <v>0</v>
      </c>
      <c r="BV38">
        <v>0.00152894</v>
      </c>
      <c r="BW38">
        <v>-6.242198709677419</v>
      </c>
      <c r="BX38">
        <v>406.4740322580644</v>
      </c>
      <c r="BY38">
        <v>412.375129032258</v>
      </c>
      <c r="BZ38">
        <v>1.097784838709677</v>
      </c>
      <c r="CA38">
        <v>405.0216451612903</v>
      </c>
      <c r="CB38">
        <v>17.83216451612903</v>
      </c>
      <c r="CC38">
        <v>1.916296129032258</v>
      </c>
      <c r="CD38">
        <v>1.805165806451613</v>
      </c>
      <c r="CE38">
        <v>16.76914838709677</v>
      </c>
      <c r="CF38">
        <v>15.83159032258064</v>
      </c>
      <c r="CG38">
        <v>999.968129032258</v>
      </c>
      <c r="CH38">
        <v>0.9599821612903227</v>
      </c>
      <c r="CI38">
        <v>0.04001753870967741</v>
      </c>
      <c r="CJ38">
        <v>0</v>
      </c>
      <c r="CK38">
        <v>2.508225806451613</v>
      </c>
      <c r="CL38">
        <v>0</v>
      </c>
      <c r="CM38">
        <v>7772.789032258062</v>
      </c>
      <c r="CN38">
        <v>7946.602580645162</v>
      </c>
      <c r="CO38">
        <v>36.11264516129032</v>
      </c>
      <c r="CP38">
        <v>39.09048387096774</v>
      </c>
      <c r="CQ38">
        <v>37.42322580645161</v>
      </c>
      <c r="CR38">
        <v>38.35058064516129</v>
      </c>
      <c r="CS38">
        <v>36.59848387096774</v>
      </c>
      <c r="CT38">
        <v>959.9512903225807</v>
      </c>
      <c r="CU38">
        <v>40.01903225806451</v>
      </c>
      <c r="CV38">
        <v>0</v>
      </c>
      <c r="CW38">
        <v>1750960252.1</v>
      </c>
      <c r="CX38">
        <v>0</v>
      </c>
      <c r="CY38">
        <v>1750960252.1</v>
      </c>
      <c r="CZ38" t="s">
        <v>422</v>
      </c>
      <c r="DA38">
        <v>1750960252.1</v>
      </c>
      <c r="DB38">
        <v>1750960136.1</v>
      </c>
      <c r="DC38">
        <v>22</v>
      </c>
      <c r="DD38">
        <v>-0.002</v>
      </c>
      <c r="DE38">
        <v>-0.008</v>
      </c>
      <c r="DF38">
        <v>1.255</v>
      </c>
      <c r="DG38">
        <v>0.141</v>
      </c>
      <c r="DH38">
        <v>405</v>
      </c>
      <c r="DI38">
        <v>18</v>
      </c>
      <c r="DJ38">
        <v>0.23</v>
      </c>
      <c r="DK38">
        <v>0.18</v>
      </c>
      <c r="DL38">
        <v>-6.24012625</v>
      </c>
      <c r="DM38">
        <v>-0.09260746716695967</v>
      </c>
      <c r="DN38">
        <v>0.02313371897117921</v>
      </c>
      <c r="DO38">
        <v>1</v>
      </c>
      <c r="DP38">
        <v>1.11199275</v>
      </c>
      <c r="DQ38">
        <v>-0.2862133958724224</v>
      </c>
      <c r="DR38">
        <v>0.02857008181537989</v>
      </c>
      <c r="DS38">
        <v>0</v>
      </c>
      <c r="DT38">
        <v>1</v>
      </c>
      <c r="DU38">
        <v>2</v>
      </c>
      <c r="DV38" t="s">
        <v>355</v>
      </c>
      <c r="DW38">
        <v>3.44998</v>
      </c>
      <c r="DX38">
        <v>2.78066</v>
      </c>
      <c r="DY38">
        <v>0.0961159</v>
      </c>
      <c r="DZ38">
        <v>0.09744269999999999</v>
      </c>
      <c r="EA38">
        <v>0.100473</v>
      </c>
      <c r="EB38">
        <v>0.0958865</v>
      </c>
      <c r="EC38">
        <v>27203.6</v>
      </c>
      <c r="ED38">
        <v>30934.1</v>
      </c>
      <c r="EE38">
        <v>29235.5</v>
      </c>
      <c r="EF38">
        <v>34864.3</v>
      </c>
      <c r="EG38">
        <v>30417.9</v>
      </c>
      <c r="EH38">
        <v>39123.4</v>
      </c>
      <c r="EI38">
        <v>35997.4</v>
      </c>
      <c r="EJ38">
        <v>46140.3</v>
      </c>
      <c r="EK38">
        <v>2.34302</v>
      </c>
      <c r="EL38">
        <v>2.2264</v>
      </c>
      <c r="EM38">
        <v>0.0802055</v>
      </c>
      <c r="EN38">
        <v>0</v>
      </c>
      <c r="EO38">
        <v>24.8737</v>
      </c>
      <c r="EP38">
        <v>999.9</v>
      </c>
      <c r="EQ38">
        <v>64.2</v>
      </c>
      <c r="ER38">
        <v>26.3</v>
      </c>
      <c r="ES38">
        <v>21.7817</v>
      </c>
      <c r="ET38">
        <v>62.0347</v>
      </c>
      <c r="EU38">
        <v>25.5329</v>
      </c>
      <c r="EV38">
        <v>2</v>
      </c>
      <c r="EW38">
        <v>-0.216329</v>
      </c>
      <c r="EX38">
        <v>0</v>
      </c>
      <c r="EY38">
        <v>20.2937</v>
      </c>
      <c r="EZ38">
        <v>5.21085</v>
      </c>
      <c r="FA38">
        <v>11.968</v>
      </c>
      <c r="FB38">
        <v>4.991</v>
      </c>
      <c r="FC38">
        <v>3.272</v>
      </c>
      <c r="FD38">
        <v>3149.5</v>
      </c>
      <c r="FE38">
        <v>9999</v>
      </c>
      <c r="FF38">
        <v>9999</v>
      </c>
      <c r="FG38">
        <v>999.9</v>
      </c>
      <c r="FH38">
        <v>4.97262</v>
      </c>
      <c r="FI38">
        <v>1.86279</v>
      </c>
      <c r="FJ38">
        <v>1.86461</v>
      </c>
      <c r="FK38">
        <v>1.86304</v>
      </c>
      <c r="FL38">
        <v>1.86298</v>
      </c>
      <c r="FM38">
        <v>1.86356</v>
      </c>
      <c r="FN38">
        <v>1.86005</v>
      </c>
      <c r="FO38">
        <v>1.86291</v>
      </c>
      <c r="FP38">
        <v>0</v>
      </c>
      <c r="FQ38">
        <v>0</v>
      </c>
      <c r="FR38">
        <v>0</v>
      </c>
      <c r="FS38">
        <v>0</v>
      </c>
      <c r="FT38" t="s">
        <v>356</v>
      </c>
      <c r="FU38" t="s">
        <v>357</v>
      </c>
      <c r="FV38" t="s">
        <v>358</v>
      </c>
      <c r="FW38" t="s">
        <v>358</v>
      </c>
      <c r="FX38" t="s">
        <v>358</v>
      </c>
      <c r="FY38" t="s">
        <v>358</v>
      </c>
      <c r="FZ38">
        <v>0</v>
      </c>
      <c r="GA38">
        <v>100</v>
      </c>
      <c r="GB38">
        <v>100</v>
      </c>
      <c r="GC38">
        <v>1.255</v>
      </c>
      <c r="GD38">
        <v>0.1585</v>
      </c>
      <c r="GE38">
        <v>1.540939410297774</v>
      </c>
      <c r="GF38">
        <v>-0.001033730503750798</v>
      </c>
      <c r="GG38">
        <v>9.120241388950126E-07</v>
      </c>
      <c r="GH38">
        <v>-2.246115299815222E-10</v>
      </c>
      <c r="GI38">
        <v>-0.1109718397766287</v>
      </c>
      <c r="GJ38">
        <v>-0.01814858093373864</v>
      </c>
      <c r="GK38">
        <v>0.002091959988359369</v>
      </c>
      <c r="GL38">
        <v>-1.90871700788604E-05</v>
      </c>
      <c r="GM38">
        <v>2</v>
      </c>
      <c r="GN38">
        <v>2210</v>
      </c>
      <c r="GO38">
        <v>1</v>
      </c>
      <c r="GP38">
        <v>26</v>
      </c>
      <c r="GQ38">
        <v>1.6</v>
      </c>
      <c r="GR38">
        <v>1.6</v>
      </c>
      <c r="GS38">
        <v>1.26709</v>
      </c>
      <c r="GT38">
        <v>2.37305</v>
      </c>
      <c r="GU38">
        <v>2.34741</v>
      </c>
      <c r="GV38">
        <v>2.72705</v>
      </c>
      <c r="GW38">
        <v>2.39868</v>
      </c>
      <c r="GX38">
        <v>2.26562</v>
      </c>
      <c r="GY38">
        <v>31.7611</v>
      </c>
      <c r="GZ38">
        <v>15.9007</v>
      </c>
      <c r="HA38">
        <v>18</v>
      </c>
      <c r="HB38">
        <v>683.663</v>
      </c>
      <c r="HC38">
        <v>648.756</v>
      </c>
      <c r="HD38">
        <v>25.9377</v>
      </c>
      <c r="HE38">
        <v>24.8239</v>
      </c>
      <c r="HF38">
        <v>30.0001</v>
      </c>
      <c r="HG38">
        <v>24.6282</v>
      </c>
      <c r="HH38">
        <v>24.5693</v>
      </c>
      <c r="HI38">
        <v>25.413</v>
      </c>
      <c r="HJ38">
        <v>25.621</v>
      </c>
      <c r="HK38">
        <v>85.71120000000001</v>
      </c>
      <c r="HL38">
        <v>-999.9</v>
      </c>
      <c r="HM38">
        <v>405</v>
      </c>
      <c r="HN38">
        <v>17.9035</v>
      </c>
      <c r="HO38">
        <v>100.391</v>
      </c>
      <c r="HP38">
        <v>100.757</v>
      </c>
    </row>
    <row r="39" spans="1:224">
      <c r="A39">
        <v>23</v>
      </c>
      <c r="B39">
        <v>1750960334.6</v>
      </c>
      <c r="C39">
        <v>3063.599999904633</v>
      </c>
      <c r="D39" t="s">
        <v>423</v>
      </c>
      <c r="E39" t="s">
        <v>424</v>
      </c>
      <c r="F39">
        <v>15</v>
      </c>
      <c r="G39">
        <v>1750960326.849999</v>
      </c>
      <c r="H39">
        <f>(I39)/1000</f>
        <v>0</v>
      </c>
      <c r="I39">
        <f>IF(BD39, AL39, AF39)</f>
        <v>0</v>
      </c>
      <c r="J39">
        <f>IF(BD39, AG39, AE39)</f>
        <v>0</v>
      </c>
      <c r="K39">
        <f>BF39 - IF(AS39&gt;1, J39*AZ39*100.0/(AU39), 0)</f>
        <v>0</v>
      </c>
      <c r="L39">
        <f>((R39-H39/2)*K39-J39)/(R39+H39/2)</f>
        <v>0</v>
      </c>
      <c r="M39">
        <f>L39*(BM39+BN39)/1000.0</f>
        <v>0</v>
      </c>
      <c r="N39">
        <f>(BF39 - IF(AS39&gt;1, J39*AZ39*100.0/(AU39), 0))*(BM39+BN39)/1000.0</f>
        <v>0</v>
      </c>
      <c r="O39">
        <f>2.0/((1/Q39-1/P39)+SIGN(Q39)*SQRT((1/Q39-1/P39)*(1/Q39-1/P39) + 4*BA39/((BA39+1)*(BA39+1))*(2*1/Q39*1/P39-1/P39*1/P39)))</f>
        <v>0</v>
      </c>
      <c r="P39">
        <f>IF(LEFT(BB39,1)&lt;&gt;"0",IF(LEFT(BB39,1)="1",3.0,BC39),$D$5+$E$5*(BT39*BM39/($K$5*1000))+$F$5*(BT39*BM39/($K$5*1000))*MAX(MIN(AZ39,$J$5),$I$5)*MAX(MIN(AZ39,$J$5),$I$5)+$G$5*MAX(MIN(AZ39,$J$5),$I$5)*(BT39*BM39/($K$5*1000))+$H$5*(BT39*BM39/($K$5*1000))*(BT39*BM39/($K$5*1000)))</f>
        <v>0</v>
      </c>
      <c r="Q39">
        <f>H39*(1000-(1000*0.61365*exp(17.502*U39/(240.97+U39))/(BM39+BN39)+BH39)/2)/(1000*0.61365*exp(17.502*U39/(240.97+U39))/(BM39+BN39)-BH39)</f>
        <v>0</v>
      </c>
      <c r="R39">
        <f>1/((BA39+1)/(O39/1.6)+1/(P39/1.37)) + BA39/((BA39+1)/(O39/1.6) + BA39/(P39/1.37))</f>
        <v>0</v>
      </c>
      <c r="S39">
        <f>(AV39*AY39)</f>
        <v>0</v>
      </c>
      <c r="T39">
        <f>(BO39+(S39+2*0.95*5.67E-8*(((BO39+$B$7)+273)^4-(BO39+273)^4)-44100*H39)/(1.84*29.3*P39+8*0.95*5.67E-8*(BO39+273)^3))</f>
        <v>0</v>
      </c>
      <c r="U39">
        <f>($C$7*BP39+$D$7*BQ39+$E$7*T39)</f>
        <v>0</v>
      </c>
      <c r="V39">
        <f>0.61365*exp(17.502*U39/(240.97+U39))</f>
        <v>0</v>
      </c>
      <c r="W39">
        <f>(X39/Y39*100)</f>
        <v>0</v>
      </c>
      <c r="X39">
        <f>BH39*(BM39+BN39)/1000</f>
        <v>0</v>
      </c>
      <c r="Y39">
        <f>0.61365*exp(17.502*BO39/(240.97+BO39))</f>
        <v>0</v>
      </c>
      <c r="Z39">
        <f>(V39-BH39*(BM39+BN39)/1000)</f>
        <v>0</v>
      </c>
      <c r="AA39">
        <f>(-H39*44100)</f>
        <v>0</v>
      </c>
      <c r="AB39">
        <f>2*29.3*P39*0.92*(BO39-U39)</f>
        <v>0</v>
      </c>
      <c r="AC39">
        <f>2*0.95*5.67E-8*(((BO39+$B$7)+273)^4-(U39+273)^4)</f>
        <v>0</v>
      </c>
      <c r="AD39">
        <f>S39+AC39+AA39+AB39</f>
        <v>0</v>
      </c>
      <c r="AE39">
        <f>BL39*AS39*(BG39-BF39*(1000-AS39*BI39)/(1000-AS39*BH39))/(100*AZ39)</f>
        <v>0</v>
      </c>
      <c r="AF39">
        <f>1000*BL39*AS39*(BH39-BI39)/(100*AZ39*(1000-AS39*BH39))</f>
        <v>0</v>
      </c>
      <c r="AG39">
        <f>(AH39 - AI39 - BM39*1E3/(8.314*(BO39+273.15)) * AK39/BL39 * AJ39) * BL39/(100*AZ39) * (1000 - BI39)/1000</f>
        <v>0</v>
      </c>
      <c r="AH39">
        <v>412.5522309119566</v>
      </c>
      <c r="AI39">
        <v>410.8739272727273</v>
      </c>
      <c r="AJ39">
        <v>0.001046599422781367</v>
      </c>
      <c r="AK39">
        <v>66.94903896587532</v>
      </c>
      <c r="AL39">
        <f>(AN39 - AM39 + BM39*1E3/(8.314*(BO39+273.15)) * AP39/BL39 * AO39) * BL39/(100*AZ39) * 1000/(1000 - AN39)</f>
        <v>0</v>
      </c>
      <c r="AM39">
        <v>18.32923046885864</v>
      </c>
      <c r="AN39">
        <v>18.76818606060605</v>
      </c>
      <c r="AO39">
        <v>0.002946011272909699</v>
      </c>
      <c r="AP39">
        <v>79.37774040279179</v>
      </c>
      <c r="AQ39">
        <v>124</v>
      </c>
      <c r="AR39">
        <v>15</v>
      </c>
      <c r="AS39">
        <f>IF(AQ39*$H$13&gt;=AU39,1.0,(AU39/(AU39-AQ39*$H$13)))</f>
        <v>0</v>
      </c>
      <c r="AT39">
        <f>(AS39-1)*100</f>
        <v>0</v>
      </c>
      <c r="AU39">
        <f>MAX(0,($B$13+$C$13*BT39)/(1+$D$13*BT39)*BM39/(BO39+273)*$E$13)</f>
        <v>0</v>
      </c>
      <c r="AV39">
        <f>$B$11*BU39+$C$11*BV39+$F$11*CG39*(1-CJ39)</f>
        <v>0</v>
      </c>
      <c r="AW39">
        <f>AV39*AX39</f>
        <v>0</v>
      </c>
      <c r="AX39">
        <f>($B$11*$D$9+$C$11*$D$9+$F$11*((CT39+CL39)/MAX(CT39+CL39+CU39, 0.1)*$I$9+CU39/MAX(CT39+CL39+CU39, 0.1)*$J$9))/($B$11+$C$11+$F$11)</f>
        <v>0</v>
      </c>
      <c r="AY39">
        <f>($B$11*$K$9+$C$11*$K$9+$F$11*((CT39+CL39)/MAX(CT39+CL39+CU39, 0.1)*$P$9+CU39/MAX(CT39+CL39+CU39, 0.1)*$Q$9))/($B$11+$C$11+$F$11)</f>
        <v>0</v>
      </c>
      <c r="AZ39">
        <v>6</v>
      </c>
      <c r="BA39">
        <v>0.5</v>
      </c>
      <c r="BB39" t="s">
        <v>353</v>
      </c>
      <c r="BC39">
        <v>2</v>
      </c>
      <c r="BD39" t="b">
        <v>0</v>
      </c>
      <c r="BE39">
        <v>1750960326.849999</v>
      </c>
      <c r="BF39">
        <v>403.1473666666668</v>
      </c>
      <c r="BG39">
        <v>404.9768666666666</v>
      </c>
      <c r="BH39">
        <v>18.71587</v>
      </c>
      <c r="BI39">
        <v>18.32397333333333</v>
      </c>
      <c r="BJ39">
        <v>401.9183666666668</v>
      </c>
      <c r="BK39">
        <v>18.57487</v>
      </c>
      <c r="BL39">
        <v>799.9925333333334</v>
      </c>
      <c r="BM39">
        <v>101.2291333333333</v>
      </c>
      <c r="BN39">
        <v>0.1000244133333333</v>
      </c>
      <c r="BO39">
        <v>26.45885666666667</v>
      </c>
      <c r="BP39">
        <v>26.27351666666667</v>
      </c>
      <c r="BQ39">
        <v>999.9000000000002</v>
      </c>
      <c r="BR39">
        <v>0</v>
      </c>
      <c r="BS39">
        <v>0</v>
      </c>
      <c r="BT39">
        <v>10003.02233333333</v>
      </c>
      <c r="BU39">
        <v>0</v>
      </c>
      <c r="BV39">
        <v>0.00152894</v>
      </c>
      <c r="BW39">
        <v>-1.802723666666666</v>
      </c>
      <c r="BX39">
        <v>410.8682333333333</v>
      </c>
      <c r="BY39">
        <v>412.5361666666666</v>
      </c>
      <c r="BZ39">
        <v>0.4022764666666666</v>
      </c>
      <c r="CA39">
        <v>404.9768666666666</v>
      </c>
      <c r="CB39">
        <v>18.32397333333333</v>
      </c>
      <c r="CC39">
        <v>1.895641</v>
      </c>
      <c r="CD39">
        <v>1.854919666666667</v>
      </c>
      <c r="CE39">
        <v>16.59855666666666</v>
      </c>
      <c r="CF39">
        <v>16.25744333333333</v>
      </c>
      <c r="CG39">
        <v>999.9470333333334</v>
      </c>
      <c r="CH39">
        <v>0.9600095333333333</v>
      </c>
      <c r="CI39">
        <v>0.03999022666666666</v>
      </c>
      <c r="CJ39">
        <v>0</v>
      </c>
      <c r="CK39">
        <v>1.257666666666666</v>
      </c>
      <c r="CL39">
        <v>0</v>
      </c>
      <c r="CM39">
        <v>4860.644666666666</v>
      </c>
      <c r="CN39">
        <v>7946.529333333334</v>
      </c>
      <c r="CO39">
        <v>35.25393333333333</v>
      </c>
      <c r="CP39">
        <v>38.38306666666666</v>
      </c>
      <c r="CQ39">
        <v>36.60603333333334</v>
      </c>
      <c r="CR39">
        <v>37.39556666666666</v>
      </c>
      <c r="CS39">
        <v>35.83516666666666</v>
      </c>
      <c r="CT39">
        <v>959.9600000000003</v>
      </c>
      <c r="CU39">
        <v>39.987</v>
      </c>
      <c r="CV39">
        <v>0</v>
      </c>
      <c r="CW39">
        <v>1750960351.7</v>
      </c>
      <c r="CX39">
        <v>0</v>
      </c>
      <c r="CY39">
        <v>1750960354.6</v>
      </c>
      <c r="CZ39" t="s">
        <v>425</v>
      </c>
      <c r="DA39">
        <v>1750960350.6</v>
      </c>
      <c r="DB39">
        <v>1750960354.6</v>
      </c>
      <c r="DC39">
        <v>23</v>
      </c>
      <c r="DD39">
        <v>-0.026</v>
      </c>
      <c r="DE39">
        <v>0.004</v>
      </c>
      <c r="DF39">
        <v>1.229</v>
      </c>
      <c r="DG39">
        <v>0.141</v>
      </c>
      <c r="DH39">
        <v>405</v>
      </c>
      <c r="DI39">
        <v>18</v>
      </c>
      <c r="DJ39">
        <v>0.25</v>
      </c>
      <c r="DK39">
        <v>0.19</v>
      </c>
      <c r="DL39">
        <v>-1.761512</v>
      </c>
      <c r="DM39">
        <v>-0.6002613883677276</v>
      </c>
      <c r="DN39">
        <v>0.06848523900082411</v>
      </c>
      <c r="DO39">
        <v>0</v>
      </c>
      <c r="DP39">
        <v>0.374126775</v>
      </c>
      <c r="DQ39">
        <v>0.463903440900563</v>
      </c>
      <c r="DR39">
        <v>0.04552348375426001</v>
      </c>
      <c r="DS39">
        <v>0</v>
      </c>
      <c r="DT39">
        <v>0</v>
      </c>
      <c r="DU39">
        <v>2</v>
      </c>
      <c r="DV39" t="s">
        <v>362</v>
      </c>
      <c r="DW39">
        <v>3.45041</v>
      </c>
      <c r="DX39">
        <v>2.78126</v>
      </c>
      <c r="DY39">
        <v>0.0969269</v>
      </c>
      <c r="DZ39">
        <v>0.0974502</v>
      </c>
      <c r="EA39">
        <v>0.0999375</v>
      </c>
      <c r="EB39">
        <v>0.0977928</v>
      </c>
      <c r="EC39">
        <v>27180.5</v>
      </c>
      <c r="ED39">
        <v>30935.7</v>
      </c>
      <c r="EE39">
        <v>29236.8</v>
      </c>
      <c r="EF39">
        <v>34866.3</v>
      </c>
      <c r="EG39">
        <v>30438.1</v>
      </c>
      <c r="EH39">
        <v>39043.2</v>
      </c>
      <c r="EI39">
        <v>35999.6</v>
      </c>
      <c r="EJ39">
        <v>46143.1</v>
      </c>
      <c r="EK39">
        <v>2.31842</v>
      </c>
      <c r="EL39">
        <v>2.2262</v>
      </c>
      <c r="EM39">
        <v>0.100601</v>
      </c>
      <c r="EN39">
        <v>0</v>
      </c>
      <c r="EO39">
        <v>24.6283</v>
      </c>
      <c r="EP39">
        <v>999.9</v>
      </c>
      <c r="EQ39">
        <v>64.2</v>
      </c>
      <c r="ER39">
        <v>26.4</v>
      </c>
      <c r="ES39">
        <v>21.9121</v>
      </c>
      <c r="ET39">
        <v>61.4047</v>
      </c>
      <c r="EU39">
        <v>25.5048</v>
      </c>
      <c r="EV39">
        <v>2</v>
      </c>
      <c r="EW39">
        <v>-0.21765</v>
      </c>
      <c r="EX39">
        <v>0</v>
      </c>
      <c r="EY39">
        <v>20.2961</v>
      </c>
      <c r="EZ39">
        <v>5.2122</v>
      </c>
      <c r="FA39">
        <v>11.968</v>
      </c>
      <c r="FB39">
        <v>4.99115</v>
      </c>
      <c r="FC39">
        <v>3.272</v>
      </c>
      <c r="FD39">
        <v>3152.7</v>
      </c>
      <c r="FE39">
        <v>9999</v>
      </c>
      <c r="FF39">
        <v>9999</v>
      </c>
      <c r="FG39">
        <v>999.9</v>
      </c>
      <c r="FH39">
        <v>4.97263</v>
      </c>
      <c r="FI39">
        <v>1.86279</v>
      </c>
      <c r="FJ39">
        <v>1.86462</v>
      </c>
      <c r="FK39">
        <v>1.86309</v>
      </c>
      <c r="FL39">
        <v>1.86299</v>
      </c>
      <c r="FM39">
        <v>1.86356</v>
      </c>
      <c r="FN39">
        <v>1.86005</v>
      </c>
      <c r="FO39">
        <v>1.86285</v>
      </c>
      <c r="FP39">
        <v>0</v>
      </c>
      <c r="FQ39">
        <v>0</v>
      </c>
      <c r="FR39">
        <v>0</v>
      </c>
      <c r="FS39">
        <v>0</v>
      </c>
      <c r="FT39" t="s">
        <v>356</v>
      </c>
      <c r="FU39" t="s">
        <v>357</v>
      </c>
      <c r="FV39" t="s">
        <v>358</v>
      </c>
      <c r="FW39" t="s">
        <v>358</v>
      </c>
      <c r="FX39" t="s">
        <v>358</v>
      </c>
      <c r="FY39" t="s">
        <v>358</v>
      </c>
      <c r="FZ39">
        <v>0</v>
      </c>
      <c r="GA39">
        <v>100</v>
      </c>
      <c r="GB39">
        <v>100</v>
      </c>
      <c r="GC39">
        <v>1.229</v>
      </c>
      <c r="GD39">
        <v>0.141</v>
      </c>
      <c r="GE39">
        <v>1.538650095794503</v>
      </c>
      <c r="GF39">
        <v>-0.001033730503750798</v>
      </c>
      <c r="GG39">
        <v>9.120241388950126E-07</v>
      </c>
      <c r="GH39">
        <v>-2.246115299815222E-10</v>
      </c>
      <c r="GI39">
        <v>-0.1109718397766287</v>
      </c>
      <c r="GJ39">
        <v>-0.01814858093373864</v>
      </c>
      <c r="GK39">
        <v>0.002091959988359369</v>
      </c>
      <c r="GL39">
        <v>-1.90871700788604E-05</v>
      </c>
      <c r="GM39">
        <v>2</v>
      </c>
      <c r="GN39">
        <v>2210</v>
      </c>
      <c r="GO39">
        <v>1</v>
      </c>
      <c r="GP39">
        <v>26</v>
      </c>
      <c r="GQ39">
        <v>1.4</v>
      </c>
      <c r="GR39">
        <v>3.3</v>
      </c>
      <c r="GS39">
        <v>1.26831</v>
      </c>
      <c r="GT39">
        <v>2.37183</v>
      </c>
      <c r="GU39">
        <v>2.34741</v>
      </c>
      <c r="GV39">
        <v>2.72461</v>
      </c>
      <c r="GW39">
        <v>2.39868</v>
      </c>
      <c r="GX39">
        <v>2.2583</v>
      </c>
      <c r="GY39">
        <v>31.8488</v>
      </c>
      <c r="GZ39">
        <v>15.892</v>
      </c>
      <c r="HA39">
        <v>18</v>
      </c>
      <c r="HB39">
        <v>665.456</v>
      </c>
      <c r="HC39">
        <v>648.747</v>
      </c>
      <c r="HD39">
        <v>25.9208</v>
      </c>
      <c r="HE39">
        <v>24.8194</v>
      </c>
      <c r="HF39">
        <v>29.9999</v>
      </c>
      <c r="HG39">
        <v>24.6406</v>
      </c>
      <c r="HH39">
        <v>24.5817</v>
      </c>
      <c r="HI39">
        <v>25.4258</v>
      </c>
      <c r="HJ39">
        <v>23.6836</v>
      </c>
      <c r="HK39">
        <v>85.78060000000001</v>
      </c>
      <c r="HL39">
        <v>-999.9</v>
      </c>
      <c r="HM39">
        <v>405</v>
      </c>
      <c r="HN39">
        <v>18.3299</v>
      </c>
      <c r="HO39">
        <v>100.397</v>
      </c>
      <c r="HP39">
        <v>100.763</v>
      </c>
    </row>
    <row r="40" spans="1:224">
      <c r="A40">
        <v>24</v>
      </c>
      <c r="B40">
        <v>1750960467.1</v>
      </c>
      <c r="C40">
        <v>3196.099999904633</v>
      </c>
      <c r="D40" t="s">
        <v>426</v>
      </c>
      <c r="E40" t="s">
        <v>427</v>
      </c>
      <c r="F40">
        <v>15</v>
      </c>
      <c r="G40">
        <v>1750960459.349999</v>
      </c>
      <c r="H40">
        <f>(I40)/1000</f>
        <v>0</v>
      </c>
      <c r="I40">
        <f>IF(BD40, AL40, AF40)</f>
        <v>0</v>
      </c>
      <c r="J40">
        <f>IF(BD40, AG40, AE40)</f>
        <v>0</v>
      </c>
      <c r="K40">
        <f>BF40 - IF(AS40&gt;1, J40*AZ40*100.0/(AU40), 0)</f>
        <v>0</v>
      </c>
      <c r="L40">
        <f>((R40-H40/2)*K40-J40)/(R40+H40/2)</f>
        <v>0</v>
      </c>
      <c r="M40">
        <f>L40*(BM40+BN40)/1000.0</f>
        <v>0</v>
      </c>
      <c r="N40">
        <f>(BF40 - IF(AS40&gt;1, J40*AZ40*100.0/(AU40), 0))*(BM40+BN40)/1000.0</f>
        <v>0</v>
      </c>
      <c r="O40">
        <f>2.0/((1/Q40-1/P40)+SIGN(Q40)*SQRT((1/Q40-1/P40)*(1/Q40-1/P40) + 4*BA40/((BA40+1)*(BA40+1))*(2*1/Q40*1/P40-1/P40*1/P40)))</f>
        <v>0</v>
      </c>
      <c r="P40">
        <f>IF(LEFT(BB40,1)&lt;&gt;"0",IF(LEFT(BB40,1)="1",3.0,BC40),$D$5+$E$5*(BT40*BM40/($K$5*1000))+$F$5*(BT40*BM40/($K$5*1000))*MAX(MIN(AZ40,$J$5),$I$5)*MAX(MIN(AZ40,$J$5),$I$5)+$G$5*MAX(MIN(AZ40,$J$5),$I$5)*(BT40*BM40/($K$5*1000))+$H$5*(BT40*BM40/($K$5*1000))*(BT40*BM40/($K$5*1000)))</f>
        <v>0</v>
      </c>
      <c r="Q40">
        <f>H40*(1000-(1000*0.61365*exp(17.502*U40/(240.97+U40))/(BM40+BN40)+BH40)/2)/(1000*0.61365*exp(17.502*U40/(240.97+U40))/(BM40+BN40)-BH40)</f>
        <v>0</v>
      </c>
      <c r="R40">
        <f>1/((BA40+1)/(O40/1.6)+1/(P40/1.37)) + BA40/((BA40+1)/(O40/1.6) + BA40/(P40/1.37))</f>
        <v>0</v>
      </c>
      <c r="S40">
        <f>(AV40*AY40)</f>
        <v>0</v>
      </c>
      <c r="T40">
        <f>(BO40+(S40+2*0.95*5.67E-8*(((BO40+$B$7)+273)^4-(BO40+273)^4)-44100*H40)/(1.84*29.3*P40+8*0.95*5.67E-8*(BO40+273)^3))</f>
        <v>0</v>
      </c>
      <c r="U40">
        <f>($C$7*BP40+$D$7*BQ40+$E$7*T40)</f>
        <v>0</v>
      </c>
      <c r="V40">
        <f>0.61365*exp(17.502*U40/(240.97+U40))</f>
        <v>0</v>
      </c>
      <c r="W40">
        <f>(X40/Y40*100)</f>
        <v>0</v>
      </c>
      <c r="X40">
        <f>BH40*(BM40+BN40)/1000</f>
        <v>0</v>
      </c>
      <c r="Y40">
        <f>0.61365*exp(17.502*BO40/(240.97+BO40))</f>
        <v>0</v>
      </c>
      <c r="Z40">
        <f>(V40-BH40*(BM40+BN40)/1000)</f>
        <v>0</v>
      </c>
      <c r="AA40">
        <f>(-H40*44100)</f>
        <v>0</v>
      </c>
      <c r="AB40">
        <f>2*29.3*P40*0.92*(BO40-U40)</f>
        <v>0</v>
      </c>
      <c r="AC40">
        <f>2*0.95*5.67E-8*(((BO40+$B$7)+273)^4-(U40+273)^4)</f>
        <v>0</v>
      </c>
      <c r="AD40">
        <f>S40+AC40+AA40+AB40</f>
        <v>0</v>
      </c>
      <c r="AE40">
        <f>BL40*AS40*(BG40-BF40*(1000-AS40*BI40)/(1000-AS40*BH40))/(100*AZ40)</f>
        <v>0</v>
      </c>
      <c r="AF40">
        <f>1000*BL40*AS40*(BH40-BI40)/(100*AZ40*(1000-AS40*BH40))</f>
        <v>0</v>
      </c>
      <c r="AG40">
        <f>(AH40 - AI40 - BM40*1E3/(8.314*(BO40+273.15)) * AK40/BL40 * AJ40) * BL40/(100*AZ40) * (1000 - BI40)/1000</f>
        <v>0</v>
      </c>
      <c r="AH40">
        <v>412.502184610696</v>
      </c>
      <c r="AI40">
        <v>409.2314000000001</v>
      </c>
      <c r="AJ40">
        <v>0.0008505254252431379</v>
      </c>
      <c r="AK40">
        <v>66.95233510195983</v>
      </c>
      <c r="AL40">
        <f>(AN40 - AM40 + BM40*1E3/(8.314*(BO40+273.15)) * AP40/BL40 * AO40) * BL40/(100*AZ40) * 1000/(1000 - AN40)</f>
        <v>0</v>
      </c>
      <c r="AM40">
        <v>18.14789648974839</v>
      </c>
      <c r="AN40">
        <v>18.70760121212121</v>
      </c>
      <c r="AO40">
        <v>5.723007378199975E-05</v>
      </c>
      <c r="AP40">
        <v>79.29769031180869</v>
      </c>
      <c r="AQ40">
        <v>48</v>
      </c>
      <c r="AR40">
        <v>6</v>
      </c>
      <c r="AS40">
        <f>IF(AQ40*$H$13&gt;=AU40,1.0,(AU40/(AU40-AQ40*$H$13)))</f>
        <v>0</v>
      </c>
      <c r="AT40">
        <f>(AS40-1)*100</f>
        <v>0</v>
      </c>
      <c r="AU40">
        <f>MAX(0,($B$13+$C$13*BT40)/(1+$D$13*BT40)*BM40/(BO40+273)*$E$13)</f>
        <v>0</v>
      </c>
      <c r="AV40">
        <f>$B$11*BU40+$C$11*BV40+$F$11*CG40*(1-CJ40)</f>
        <v>0</v>
      </c>
      <c r="AW40">
        <f>AV40*AX40</f>
        <v>0</v>
      </c>
      <c r="AX40">
        <f>($B$11*$D$9+$C$11*$D$9+$F$11*((CT40+CL40)/MAX(CT40+CL40+CU40, 0.1)*$I$9+CU40/MAX(CT40+CL40+CU40, 0.1)*$J$9))/($B$11+$C$11+$F$11)</f>
        <v>0</v>
      </c>
      <c r="AY40">
        <f>($B$11*$K$9+$C$11*$K$9+$F$11*((CT40+CL40)/MAX(CT40+CL40+CU40, 0.1)*$P$9+CU40/MAX(CT40+CL40+CU40, 0.1)*$Q$9))/($B$11+$C$11+$F$11)</f>
        <v>0</v>
      </c>
      <c r="AZ40">
        <v>6</v>
      </c>
      <c r="BA40">
        <v>0.5</v>
      </c>
      <c r="BB40" t="s">
        <v>353</v>
      </c>
      <c r="BC40">
        <v>2</v>
      </c>
      <c r="BD40" t="b">
        <v>0</v>
      </c>
      <c r="BE40">
        <v>1750960459.349999</v>
      </c>
      <c r="BF40">
        <v>401.5307666666667</v>
      </c>
      <c r="BG40">
        <v>404.9862999999999</v>
      </c>
      <c r="BH40">
        <v>18.67745333333333</v>
      </c>
      <c r="BI40">
        <v>18.14360333333333</v>
      </c>
      <c r="BJ40">
        <v>400.3237666666667</v>
      </c>
      <c r="BK40">
        <v>18.54445333333333</v>
      </c>
      <c r="BL40">
        <v>799.9880999999999</v>
      </c>
      <c r="BM40">
        <v>101.2243666666667</v>
      </c>
      <c r="BN40">
        <v>0.1000533633333333</v>
      </c>
      <c r="BO40">
        <v>26.40823333333334</v>
      </c>
      <c r="BP40">
        <v>26.64234</v>
      </c>
      <c r="BQ40">
        <v>999.9000000000002</v>
      </c>
      <c r="BR40">
        <v>0</v>
      </c>
      <c r="BS40">
        <v>0</v>
      </c>
      <c r="BT40">
        <v>10000.16066666667</v>
      </c>
      <c r="BU40">
        <v>0</v>
      </c>
      <c r="BV40">
        <v>0.00152894</v>
      </c>
      <c r="BW40">
        <v>-3.432133333333333</v>
      </c>
      <c r="BX40">
        <v>409.2057000000001</v>
      </c>
      <c r="BY40">
        <v>412.4699333333334</v>
      </c>
      <c r="BZ40">
        <v>0.5549891</v>
      </c>
      <c r="CA40">
        <v>404.9862999999999</v>
      </c>
      <c r="CB40">
        <v>18.14360333333333</v>
      </c>
      <c r="CC40">
        <v>1.892752666666666</v>
      </c>
      <c r="CD40">
        <v>1.836575</v>
      </c>
      <c r="CE40">
        <v>16.57459666666666</v>
      </c>
      <c r="CF40">
        <v>16.10159333333333</v>
      </c>
      <c r="CG40">
        <v>1000.0024</v>
      </c>
      <c r="CH40">
        <v>0.9599872333333335</v>
      </c>
      <c r="CI40">
        <v>0.04001302666666665</v>
      </c>
      <c r="CJ40">
        <v>0</v>
      </c>
      <c r="CK40">
        <v>0.6501666666666668</v>
      </c>
      <c r="CL40">
        <v>0</v>
      </c>
      <c r="CM40">
        <v>5451.362999999999</v>
      </c>
      <c r="CN40">
        <v>7946.890666666667</v>
      </c>
      <c r="CO40">
        <v>36.86219999999999</v>
      </c>
      <c r="CP40">
        <v>41.11219999999998</v>
      </c>
      <c r="CQ40">
        <v>38.32066666666666</v>
      </c>
      <c r="CR40">
        <v>40.27893333333332</v>
      </c>
      <c r="CS40">
        <v>37.37886666666666</v>
      </c>
      <c r="CT40">
        <v>959.9883333333335</v>
      </c>
      <c r="CU40">
        <v>40.014</v>
      </c>
      <c r="CV40">
        <v>0</v>
      </c>
      <c r="CW40">
        <v>1750960484.3</v>
      </c>
      <c r="CX40">
        <v>0</v>
      </c>
      <c r="CY40">
        <v>1750960489.1</v>
      </c>
      <c r="CZ40" t="s">
        <v>428</v>
      </c>
      <c r="DA40">
        <v>1750960484.1</v>
      </c>
      <c r="DB40">
        <v>1750960489.1</v>
      </c>
      <c r="DC40">
        <v>24</v>
      </c>
      <c r="DD40">
        <v>-0.022</v>
      </c>
      <c r="DE40">
        <v>-0.001</v>
      </c>
      <c r="DF40">
        <v>1.207</v>
      </c>
      <c r="DG40">
        <v>0.133</v>
      </c>
      <c r="DH40">
        <v>405</v>
      </c>
      <c r="DI40">
        <v>18</v>
      </c>
      <c r="DJ40">
        <v>0.27</v>
      </c>
      <c r="DK40">
        <v>0.21</v>
      </c>
      <c r="DL40">
        <v>-3.43574</v>
      </c>
      <c r="DM40">
        <v>-0.005386620209062638</v>
      </c>
      <c r="DN40">
        <v>0.02417037493276105</v>
      </c>
      <c r="DO40">
        <v>1</v>
      </c>
      <c r="DP40">
        <v>0.552834975609756</v>
      </c>
      <c r="DQ40">
        <v>0.03406285714285796</v>
      </c>
      <c r="DR40">
        <v>0.003533028200807037</v>
      </c>
      <c r="DS40">
        <v>1</v>
      </c>
      <c r="DT40">
        <v>2</v>
      </c>
      <c r="DU40">
        <v>2</v>
      </c>
      <c r="DV40" t="s">
        <v>429</v>
      </c>
      <c r="DW40">
        <v>3.45009</v>
      </c>
      <c r="DX40">
        <v>2.78044</v>
      </c>
      <c r="DY40">
        <v>0.09664300000000001</v>
      </c>
      <c r="DZ40">
        <v>0.0974502</v>
      </c>
      <c r="EA40">
        <v>0.0996978</v>
      </c>
      <c r="EB40">
        <v>0.0970997</v>
      </c>
      <c r="EC40">
        <v>27194.3</v>
      </c>
      <c r="ED40">
        <v>30940.7</v>
      </c>
      <c r="EE40">
        <v>29242.2</v>
      </c>
      <c r="EF40">
        <v>34871.6</v>
      </c>
      <c r="EG40">
        <v>30452.2</v>
      </c>
      <c r="EH40">
        <v>39079.9</v>
      </c>
      <c r="EI40">
        <v>36006.8</v>
      </c>
      <c r="EJ40">
        <v>46151.1</v>
      </c>
      <c r="EK40">
        <v>2.43727</v>
      </c>
      <c r="EL40">
        <v>2.2268</v>
      </c>
      <c r="EM40">
        <v>0.132062</v>
      </c>
      <c r="EN40">
        <v>0</v>
      </c>
      <c r="EO40">
        <v>24.4882</v>
      </c>
      <c r="EP40">
        <v>999.9</v>
      </c>
      <c r="EQ40">
        <v>64.2</v>
      </c>
      <c r="ER40">
        <v>26.5</v>
      </c>
      <c r="ES40">
        <v>22.0429</v>
      </c>
      <c r="ET40">
        <v>61.7547</v>
      </c>
      <c r="EU40">
        <v>25.5569</v>
      </c>
      <c r="EV40">
        <v>2</v>
      </c>
      <c r="EW40">
        <v>-0.224062</v>
      </c>
      <c r="EX40">
        <v>0</v>
      </c>
      <c r="EY40">
        <v>20.2956</v>
      </c>
      <c r="EZ40">
        <v>5.20935</v>
      </c>
      <c r="FA40">
        <v>11.968</v>
      </c>
      <c r="FB40">
        <v>4.9903</v>
      </c>
      <c r="FC40">
        <v>3.27132</v>
      </c>
      <c r="FD40">
        <v>3156.6</v>
      </c>
      <c r="FE40">
        <v>9999</v>
      </c>
      <c r="FF40">
        <v>9999</v>
      </c>
      <c r="FG40">
        <v>999.9</v>
      </c>
      <c r="FH40">
        <v>4.97263</v>
      </c>
      <c r="FI40">
        <v>1.86279</v>
      </c>
      <c r="FJ40">
        <v>1.86461</v>
      </c>
      <c r="FK40">
        <v>1.86306</v>
      </c>
      <c r="FL40">
        <v>1.86301</v>
      </c>
      <c r="FM40">
        <v>1.86357</v>
      </c>
      <c r="FN40">
        <v>1.86005</v>
      </c>
      <c r="FO40">
        <v>1.86286</v>
      </c>
      <c r="FP40">
        <v>0</v>
      </c>
      <c r="FQ40">
        <v>0</v>
      </c>
      <c r="FR40">
        <v>0</v>
      </c>
      <c r="FS40">
        <v>0</v>
      </c>
      <c r="FT40" t="s">
        <v>356</v>
      </c>
      <c r="FU40" t="s">
        <v>357</v>
      </c>
      <c r="FV40" t="s">
        <v>358</v>
      </c>
      <c r="FW40" t="s">
        <v>358</v>
      </c>
      <c r="FX40" t="s">
        <v>358</v>
      </c>
      <c r="FY40" t="s">
        <v>358</v>
      </c>
      <c r="FZ40">
        <v>0</v>
      </c>
      <c r="GA40">
        <v>100</v>
      </c>
      <c r="GB40">
        <v>100</v>
      </c>
      <c r="GC40">
        <v>1.207</v>
      </c>
      <c r="GD40">
        <v>0.133</v>
      </c>
      <c r="GE40">
        <v>1.512442015604903</v>
      </c>
      <c r="GF40">
        <v>-0.001033730503750798</v>
      </c>
      <c r="GG40">
        <v>9.120241388950126E-07</v>
      </c>
      <c r="GH40">
        <v>-2.246115299815222E-10</v>
      </c>
      <c r="GI40">
        <v>-0.1070045744953366</v>
      </c>
      <c r="GJ40">
        <v>-0.01814858093373864</v>
      </c>
      <c r="GK40">
        <v>0.002091959988359369</v>
      </c>
      <c r="GL40">
        <v>-1.90871700788604E-05</v>
      </c>
      <c r="GM40">
        <v>2</v>
      </c>
      <c r="GN40">
        <v>2210</v>
      </c>
      <c r="GO40">
        <v>1</v>
      </c>
      <c r="GP40">
        <v>26</v>
      </c>
      <c r="GQ40">
        <v>1.9</v>
      </c>
      <c r="GR40">
        <v>1.9</v>
      </c>
      <c r="GS40">
        <v>1.26831</v>
      </c>
      <c r="GT40">
        <v>2.37549</v>
      </c>
      <c r="GU40">
        <v>2.34741</v>
      </c>
      <c r="GV40">
        <v>2.72095</v>
      </c>
      <c r="GW40">
        <v>2.39868</v>
      </c>
      <c r="GX40">
        <v>2.27295</v>
      </c>
      <c r="GY40">
        <v>31.8707</v>
      </c>
      <c r="GZ40">
        <v>15.8745</v>
      </c>
      <c r="HA40">
        <v>18</v>
      </c>
      <c r="HB40">
        <v>757.3200000000001</v>
      </c>
      <c r="HC40">
        <v>648.706</v>
      </c>
      <c r="HD40">
        <v>25.8617</v>
      </c>
      <c r="HE40">
        <v>24.7489</v>
      </c>
      <c r="HF40">
        <v>29.9997</v>
      </c>
      <c r="HG40">
        <v>24.5896</v>
      </c>
      <c r="HH40">
        <v>24.5385</v>
      </c>
      <c r="HI40">
        <v>25.4296</v>
      </c>
      <c r="HJ40">
        <v>24.9906</v>
      </c>
      <c r="HK40">
        <v>85.78060000000001</v>
      </c>
      <c r="HL40">
        <v>-999.9</v>
      </c>
      <c r="HM40">
        <v>405</v>
      </c>
      <c r="HN40">
        <v>18.1059</v>
      </c>
      <c r="HO40">
        <v>100.416</v>
      </c>
      <c r="HP40">
        <v>100.779</v>
      </c>
    </row>
    <row r="41" spans="1:224">
      <c r="A41">
        <v>25</v>
      </c>
      <c r="B41">
        <v>1750960569.6</v>
      </c>
      <c r="C41">
        <v>3298.599999904633</v>
      </c>
      <c r="D41" t="s">
        <v>430</v>
      </c>
      <c r="E41" t="s">
        <v>431</v>
      </c>
      <c r="F41">
        <v>15</v>
      </c>
      <c r="G41">
        <v>1750960561.849999</v>
      </c>
      <c r="H41">
        <f>(I41)/1000</f>
        <v>0</v>
      </c>
      <c r="I41">
        <f>IF(BD41, AL41, AF41)</f>
        <v>0</v>
      </c>
      <c r="J41">
        <f>IF(BD41, AG41, AE41)</f>
        <v>0</v>
      </c>
      <c r="K41">
        <f>BF41 - IF(AS41&gt;1, J41*AZ41*100.0/(AU41), 0)</f>
        <v>0</v>
      </c>
      <c r="L41">
        <f>((R41-H41/2)*K41-J41)/(R41+H41/2)</f>
        <v>0</v>
      </c>
      <c r="M41">
        <f>L41*(BM41+BN41)/1000.0</f>
        <v>0</v>
      </c>
      <c r="N41">
        <f>(BF41 - IF(AS41&gt;1, J41*AZ41*100.0/(AU41), 0))*(BM41+BN41)/1000.0</f>
        <v>0</v>
      </c>
      <c r="O41">
        <f>2.0/((1/Q41-1/P41)+SIGN(Q41)*SQRT((1/Q41-1/P41)*(1/Q41-1/P41) + 4*BA41/((BA41+1)*(BA41+1))*(2*1/Q41*1/P41-1/P41*1/P41)))</f>
        <v>0</v>
      </c>
      <c r="P41">
        <f>IF(LEFT(BB41,1)&lt;&gt;"0",IF(LEFT(BB41,1)="1",3.0,BC41),$D$5+$E$5*(BT41*BM41/($K$5*1000))+$F$5*(BT41*BM41/($K$5*1000))*MAX(MIN(AZ41,$J$5),$I$5)*MAX(MIN(AZ41,$J$5),$I$5)+$G$5*MAX(MIN(AZ41,$J$5),$I$5)*(BT41*BM41/($K$5*1000))+$H$5*(BT41*BM41/($K$5*1000))*(BT41*BM41/($K$5*1000)))</f>
        <v>0</v>
      </c>
      <c r="Q41">
        <f>H41*(1000-(1000*0.61365*exp(17.502*U41/(240.97+U41))/(BM41+BN41)+BH41)/2)/(1000*0.61365*exp(17.502*U41/(240.97+U41))/(BM41+BN41)-BH41)</f>
        <v>0</v>
      </c>
      <c r="R41">
        <f>1/((BA41+1)/(O41/1.6)+1/(P41/1.37)) + BA41/((BA41+1)/(O41/1.6) + BA41/(P41/1.37))</f>
        <v>0</v>
      </c>
      <c r="S41">
        <f>(AV41*AY41)</f>
        <v>0</v>
      </c>
      <c r="T41">
        <f>(BO41+(S41+2*0.95*5.67E-8*(((BO41+$B$7)+273)^4-(BO41+273)^4)-44100*H41)/(1.84*29.3*P41+8*0.95*5.67E-8*(BO41+273)^3))</f>
        <v>0</v>
      </c>
      <c r="U41">
        <f>($C$7*BP41+$D$7*BQ41+$E$7*T41)</f>
        <v>0</v>
      </c>
      <c r="V41">
        <f>0.61365*exp(17.502*U41/(240.97+U41))</f>
        <v>0</v>
      </c>
      <c r="W41">
        <f>(X41/Y41*100)</f>
        <v>0</v>
      </c>
      <c r="X41">
        <f>BH41*(BM41+BN41)/1000</f>
        <v>0</v>
      </c>
      <c r="Y41">
        <f>0.61365*exp(17.502*BO41/(240.97+BO41))</f>
        <v>0</v>
      </c>
      <c r="Z41">
        <f>(V41-BH41*(BM41+BN41)/1000)</f>
        <v>0</v>
      </c>
      <c r="AA41">
        <f>(-H41*44100)</f>
        <v>0</v>
      </c>
      <c r="AB41">
        <f>2*29.3*P41*0.92*(BO41-U41)</f>
        <v>0</v>
      </c>
      <c r="AC41">
        <f>2*0.95*5.67E-8*(((BO41+$B$7)+273)^4-(U41+273)^4)</f>
        <v>0</v>
      </c>
      <c r="AD41">
        <f>S41+AC41+AA41+AB41</f>
        <v>0</v>
      </c>
      <c r="AE41">
        <f>BL41*AS41*(BG41-BF41*(1000-AS41*BI41)/(1000-AS41*BH41))/(100*AZ41)</f>
        <v>0</v>
      </c>
      <c r="AF41">
        <f>1000*BL41*AS41*(BH41-BI41)/(100*AZ41*(1000-AS41*BH41))</f>
        <v>0</v>
      </c>
      <c r="AG41">
        <f>(AH41 - AI41 - BM41*1E3/(8.314*(BO41+273.15)) * AK41/BL41 * AJ41) * BL41/(100*AZ41) * (1000 - BI41)/1000</f>
        <v>0</v>
      </c>
      <c r="AH41">
        <v>412.1708883054613</v>
      </c>
      <c r="AI41">
        <v>409.5710000000001</v>
      </c>
      <c r="AJ41">
        <v>-0.0003866989369818253</v>
      </c>
      <c r="AK41">
        <v>66.95197169461062</v>
      </c>
      <c r="AL41">
        <f>(AN41 - AM41 + BM41*1E3/(8.314*(BO41+273.15)) * AP41/BL41 * AO41) * BL41/(100*AZ41) * 1000/(1000 - AN41)</f>
        <v>0</v>
      </c>
      <c r="AM41">
        <v>17.37978462631021</v>
      </c>
      <c r="AN41">
        <v>18.6667606060606</v>
      </c>
      <c r="AO41">
        <v>-4.858454081582043E-05</v>
      </c>
      <c r="AP41">
        <v>79.30436502227397</v>
      </c>
      <c r="AQ41">
        <v>22</v>
      </c>
      <c r="AR41">
        <v>3</v>
      </c>
      <c r="AS41">
        <f>IF(AQ41*$H$13&gt;=AU41,1.0,(AU41/(AU41-AQ41*$H$13)))</f>
        <v>0</v>
      </c>
      <c r="AT41">
        <f>(AS41-1)*100</f>
        <v>0</v>
      </c>
      <c r="AU41">
        <f>MAX(0,($B$13+$C$13*BT41)/(1+$D$13*BT41)*BM41/(BO41+273)*$E$13)</f>
        <v>0</v>
      </c>
      <c r="AV41">
        <f>$B$11*BU41+$C$11*BV41+$F$11*CG41*(1-CJ41)</f>
        <v>0</v>
      </c>
      <c r="AW41">
        <f>AV41*AX41</f>
        <v>0</v>
      </c>
      <c r="AX41">
        <f>($B$11*$D$9+$C$11*$D$9+$F$11*((CT41+CL41)/MAX(CT41+CL41+CU41, 0.1)*$I$9+CU41/MAX(CT41+CL41+CU41, 0.1)*$J$9))/($B$11+$C$11+$F$11)</f>
        <v>0</v>
      </c>
      <c r="AY41">
        <f>($B$11*$K$9+$C$11*$K$9+$F$11*((CT41+CL41)/MAX(CT41+CL41+CU41, 0.1)*$P$9+CU41/MAX(CT41+CL41+CU41, 0.1)*$Q$9))/($B$11+$C$11+$F$11)</f>
        <v>0</v>
      </c>
      <c r="AZ41">
        <v>6</v>
      </c>
      <c r="BA41">
        <v>0.5</v>
      </c>
      <c r="BB41" t="s">
        <v>353</v>
      </c>
      <c r="BC41">
        <v>2</v>
      </c>
      <c r="BD41" t="b">
        <v>0</v>
      </c>
      <c r="BE41">
        <v>1750960561.849999</v>
      </c>
      <c r="BF41">
        <v>401.9752333333333</v>
      </c>
      <c r="BG41">
        <v>405.0153333333334</v>
      </c>
      <c r="BH41">
        <v>18.68225333333333</v>
      </c>
      <c r="BI41">
        <v>17.38172</v>
      </c>
      <c r="BJ41">
        <v>400.7362333333333</v>
      </c>
      <c r="BK41">
        <v>18.53009666666667</v>
      </c>
      <c r="BL41">
        <v>800.0039666666667</v>
      </c>
      <c r="BM41">
        <v>101.2195666666667</v>
      </c>
      <c r="BN41">
        <v>0.1001148066666667</v>
      </c>
      <c r="BO41">
        <v>26.34246333333333</v>
      </c>
      <c r="BP41">
        <v>25.94783</v>
      </c>
      <c r="BQ41">
        <v>999.9000000000002</v>
      </c>
      <c r="BR41">
        <v>0</v>
      </c>
      <c r="BS41">
        <v>0</v>
      </c>
      <c r="BT41">
        <v>10000.91433333333</v>
      </c>
      <c r="BU41">
        <v>0</v>
      </c>
      <c r="BV41">
        <v>0.00152894</v>
      </c>
      <c r="BW41">
        <v>-3.071131</v>
      </c>
      <c r="BX41">
        <v>409.5964333333333</v>
      </c>
      <c r="BY41">
        <v>412.1796999999999</v>
      </c>
      <c r="BZ41">
        <v>1.300529</v>
      </c>
      <c r="CA41">
        <v>405.0153333333334</v>
      </c>
      <c r="CB41">
        <v>17.38172</v>
      </c>
      <c r="CC41">
        <v>1.891009</v>
      </c>
      <c r="CD41">
        <v>1.759370666666666</v>
      </c>
      <c r="CE41">
        <v>16.56009333333333</v>
      </c>
      <c r="CF41">
        <v>15.43041333333334</v>
      </c>
      <c r="CG41">
        <v>1000.016466666667</v>
      </c>
      <c r="CH41">
        <v>0.9599968333333332</v>
      </c>
      <c r="CI41">
        <v>0.04000319666666667</v>
      </c>
      <c r="CJ41">
        <v>0</v>
      </c>
      <c r="CK41">
        <v>1.9035</v>
      </c>
      <c r="CL41">
        <v>0</v>
      </c>
      <c r="CM41">
        <v>5401.444666666666</v>
      </c>
      <c r="CN41">
        <v>7947.039333333334</v>
      </c>
      <c r="CO41">
        <v>37.50393333333333</v>
      </c>
      <c r="CP41">
        <v>41.17896666666665</v>
      </c>
      <c r="CQ41">
        <v>38.94349999999999</v>
      </c>
      <c r="CR41">
        <v>40.68309999999998</v>
      </c>
      <c r="CS41">
        <v>37.8456</v>
      </c>
      <c r="CT41">
        <v>960.014</v>
      </c>
      <c r="CU41">
        <v>40.00333333333334</v>
      </c>
      <c r="CV41">
        <v>0</v>
      </c>
      <c r="CW41">
        <v>1750960586.9</v>
      </c>
      <c r="CX41">
        <v>0</v>
      </c>
      <c r="CY41">
        <v>1750960586.6</v>
      </c>
      <c r="CZ41" t="s">
        <v>432</v>
      </c>
      <c r="DA41">
        <v>1750960586.6</v>
      </c>
      <c r="DB41">
        <v>1750960489.1</v>
      </c>
      <c r="DC41">
        <v>25</v>
      </c>
      <c r="DD41">
        <v>0.032</v>
      </c>
      <c r="DE41">
        <v>-0.001</v>
      </c>
      <c r="DF41">
        <v>1.239</v>
      </c>
      <c r="DG41">
        <v>0.133</v>
      </c>
      <c r="DH41">
        <v>405</v>
      </c>
      <c r="DI41">
        <v>18</v>
      </c>
      <c r="DJ41">
        <v>0.4</v>
      </c>
      <c r="DK41">
        <v>0.21</v>
      </c>
      <c r="DL41">
        <v>-3.054251219512195</v>
      </c>
      <c r="DM41">
        <v>-0.3106496864111476</v>
      </c>
      <c r="DN41">
        <v>0.03466957182758265</v>
      </c>
      <c r="DO41">
        <v>0</v>
      </c>
      <c r="DP41">
        <v>1.325353170731707</v>
      </c>
      <c r="DQ41">
        <v>-0.39096292682927</v>
      </c>
      <c r="DR41">
        <v>0.04128125136592525</v>
      </c>
      <c r="DS41">
        <v>0</v>
      </c>
      <c r="DT41">
        <v>0</v>
      </c>
      <c r="DU41">
        <v>2</v>
      </c>
      <c r="DV41" t="s">
        <v>362</v>
      </c>
      <c r="DW41">
        <v>3.44978</v>
      </c>
      <c r="DX41">
        <v>2.78144</v>
      </c>
      <c r="DY41">
        <v>0.09672119999999999</v>
      </c>
      <c r="DZ41">
        <v>0.0974502</v>
      </c>
      <c r="EA41">
        <v>0.0995563</v>
      </c>
      <c r="EB41">
        <v>0.0941486</v>
      </c>
      <c r="EC41">
        <v>27195.1</v>
      </c>
      <c r="ED41">
        <v>30943.9</v>
      </c>
      <c r="EE41">
        <v>29245.5</v>
      </c>
      <c r="EF41">
        <v>34875</v>
      </c>
      <c r="EG41">
        <v>30461</v>
      </c>
      <c r="EH41">
        <v>39212.7</v>
      </c>
      <c r="EI41">
        <v>36011.7</v>
      </c>
      <c r="EJ41">
        <v>46157</v>
      </c>
      <c r="EK41">
        <v>2.47633</v>
      </c>
      <c r="EL41">
        <v>2.22525</v>
      </c>
      <c r="EM41">
        <v>0.0867844</v>
      </c>
      <c r="EN41">
        <v>0</v>
      </c>
      <c r="EO41">
        <v>24.5755</v>
      </c>
      <c r="EP41">
        <v>999.9</v>
      </c>
      <c r="EQ41">
        <v>64.09999999999999</v>
      </c>
      <c r="ER41">
        <v>26.6</v>
      </c>
      <c r="ES41">
        <v>22.1371</v>
      </c>
      <c r="ET41">
        <v>61.5447</v>
      </c>
      <c r="EU41">
        <v>25.641</v>
      </c>
      <c r="EV41">
        <v>2</v>
      </c>
      <c r="EW41">
        <v>-0.229634</v>
      </c>
      <c r="EX41">
        <v>0</v>
      </c>
      <c r="EY41">
        <v>20.2943</v>
      </c>
      <c r="EZ41">
        <v>5.2116</v>
      </c>
      <c r="FA41">
        <v>11.968</v>
      </c>
      <c r="FB41">
        <v>4.99125</v>
      </c>
      <c r="FC41">
        <v>3.272</v>
      </c>
      <c r="FD41">
        <v>3159.8</v>
      </c>
      <c r="FE41">
        <v>9999</v>
      </c>
      <c r="FF41">
        <v>9999</v>
      </c>
      <c r="FG41">
        <v>999.9</v>
      </c>
      <c r="FH41">
        <v>4.97264</v>
      </c>
      <c r="FI41">
        <v>1.86279</v>
      </c>
      <c r="FJ41">
        <v>1.86461</v>
      </c>
      <c r="FK41">
        <v>1.86307</v>
      </c>
      <c r="FL41">
        <v>1.86305</v>
      </c>
      <c r="FM41">
        <v>1.86356</v>
      </c>
      <c r="FN41">
        <v>1.86005</v>
      </c>
      <c r="FO41">
        <v>1.86286</v>
      </c>
      <c r="FP41">
        <v>0</v>
      </c>
      <c r="FQ41">
        <v>0</v>
      </c>
      <c r="FR41">
        <v>0</v>
      </c>
      <c r="FS41">
        <v>0</v>
      </c>
      <c r="FT41" t="s">
        <v>356</v>
      </c>
      <c r="FU41" t="s">
        <v>357</v>
      </c>
      <c r="FV41" t="s">
        <v>358</v>
      </c>
      <c r="FW41" t="s">
        <v>358</v>
      </c>
      <c r="FX41" t="s">
        <v>358</v>
      </c>
      <c r="FY41" t="s">
        <v>358</v>
      </c>
      <c r="FZ41">
        <v>0</v>
      </c>
      <c r="GA41">
        <v>100</v>
      </c>
      <c r="GB41">
        <v>100</v>
      </c>
      <c r="GC41">
        <v>1.239</v>
      </c>
      <c r="GD41">
        <v>0.1515</v>
      </c>
      <c r="GE41">
        <v>1.490302456661379</v>
      </c>
      <c r="GF41">
        <v>-0.001033730503750798</v>
      </c>
      <c r="GG41">
        <v>9.120241388950126E-07</v>
      </c>
      <c r="GH41">
        <v>-2.246115299815222E-10</v>
      </c>
      <c r="GI41">
        <v>-0.1084078280690113</v>
      </c>
      <c r="GJ41">
        <v>-0.01814858093373864</v>
      </c>
      <c r="GK41">
        <v>0.002091959988359369</v>
      </c>
      <c r="GL41">
        <v>-1.90871700788604E-05</v>
      </c>
      <c r="GM41">
        <v>2</v>
      </c>
      <c r="GN41">
        <v>2210</v>
      </c>
      <c r="GO41">
        <v>1</v>
      </c>
      <c r="GP41">
        <v>26</v>
      </c>
      <c r="GQ41">
        <v>1.4</v>
      </c>
      <c r="GR41">
        <v>1.3</v>
      </c>
      <c r="GS41">
        <v>1.26709</v>
      </c>
      <c r="GT41">
        <v>2.37183</v>
      </c>
      <c r="GU41">
        <v>2.34741</v>
      </c>
      <c r="GV41">
        <v>2.71729</v>
      </c>
      <c r="GW41">
        <v>2.39868</v>
      </c>
      <c r="GX41">
        <v>2.29004</v>
      </c>
      <c r="GY41">
        <v>31.8927</v>
      </c>
      <c r="GZ41">
        <v>15.8569</v>
      </c>
      <c r="HA41">
        <v>18</v>
      </c>
      <c r="HB41">
        <v>789.105</v>
      </c>
      <c r="HC41">
        <v>646.88</v>
      </c>
      <c r="HD41">
        <v>25.8399</v>
      </c>
      <c r="HE41">
        <v>24.6733</v>
      </c>
      <c r="HF41">
        <v>30.0001</v>
      </c>
      <c r="HG41">
        <v>24.5339</v>
      </c>
      <c r="HH41">
        <v>24.4911</v>
      </c>
      <c r="HI41">
        <v>25.418</v>
      </c>
      <c r="HJ41">
        <v>28.2212</v>
      </c>
      <c r="HK41">
        <v>85.40770000000001</v>
      </c>
      <c r="HL41">
        <v>-999.9</v>
      </c>
      <c r="HM41">
        <v>405</v>
      </c>
      <c r="HN41">
        <v>17.3861</v>
      </c>
      <c r="HO41">
        <v>100.429</v>
      </c>
      <c r="HP41">
        <v>100.791</v>
      </c>
    </row>
    <row r="42" spans="1:224">
      <c r="A42">
        <v>26</v>
      </c>
      <c r="B42">
        <v>1750960706.6</v>
      </c>
      <c r="C42">
        <v>3435.599999904633</v>
      </c>
      <c r="D42" t="s">
        <v>433</v>
      </c>
      <c r="E42" t="s">
        <v>434</v>
      </c>
      <c r="F42">
        <v>15</v>
      </c>
      <c r="G42">
        <v>1750960698.599999</v>
      </c>
      <c r="H42">
        <f>(I42)/1000</f>
        <v>0</v>
      </c>
      <c r="I42">
        <f>IF(BD42, AL42, AF42)</f>
        <v>0</v>
      </c>
      <c r="J42">
        <f>IF(BD42, AG42, AE42)</f>
        <v>0</v>
      </c>
      <c r="K42">
        <f>BF42 - IF(AS42&gt;1, J42*AZ42*100.0/(AU42), 0)</f>
        <v>0</v>
      </c>
      <c r="L42">
        <f>((R42-H42/2)*K42-J42)/(R42+H42/2)</f>
        <v>0</v>
      </c>
      <c r="M42">
        <f>L42*(BM42+BN42)/1000.0</f>
        <v>0</v>
      </c>
      <c r="N42">
        <f>(BF42 - IF(AS42&gt;1, J42*AZ42*100.0/(AU42), 0))*(BM42+BN42)/1000.0</f>
        <v>0</v>
      </c>
      <c r="O42">
        <f>2.0/((1/Q42-1/P42)+SIGN(Q42)*SQRT((1/Q42-1/P42)*(1/Q42-1/P42) + 4*BA42/((BA42+1)*(BA42+1))*(2*1/Q42*1/P42-1/P42*1/P42)))</f>
        <v>0</v>
      </c>
      <c r="P42">
        <f>IF(LEFT(BB42,1)&lt;&gt;"0",IF(LEFT(BB42,1)="1",3.0,BC42),$D$5+$E$5*(BT42*BM42/($K$5*1000))+$F$5*(BT42*BM42/($K$5*1000))*MAX(MIN(AZ42,$J$5),$I$5)*MAX(MIN(AZ42,$J$5),$I$5)+$G$5*MAX(MIN(AZ42,$J$5),$I$5)*(BT42*BM42/($K$5*1000))+$H$5*(BT42*BM42/($K$5*1000))*(BT42*BM42/($K$5*1000)))</f>
        <v>0</v>
      </c>
      <c r="Q42">
        <f>H42*(1000-(1000*0.61365*exp(17.502*U42/(240.97+U42))/(BM42+BN42)+BH42)/2)/(1000*0.61365*exp(17.502*U42/(240.97+U42))/(BM42+BN42)-BH42)</f>
        <v>0</v>
      </c>
      <c r="R42">
        <f>1/((BA42+1)/(O42/1.6)+1/(P42/1.37)) + BA42/((BA42+1)/(O42/1.6) + BA42/(P42/1.37))</f>
        <v>0</v>
      </c>
      <c r="S42">
        <f>(AV42*AY42)</f>
        <v>0</v>
      </c>
      <c r="T42">
        <f>(BO42+(S42+2*0.95*5.67E-8*(((BO42+$B$7)+273)^4-(BO42+273)^4)-44100*H42)/(1.84*29.3*P42+8*0.95*5.67E-8*(BO42+273)^3))</f>
        <v>0</v>
      </c>
      <c r="U42">
        <f>($C$7*BP42+$D$7*BQ42+$E$7*T42)</f>
        <v>0</v>
      </c>
      <c r="V42">
        <f>0.61365*exp(17.502*U42/(240.97+U42))</f>
        <v>0</v>
      </c>
      <c r="W42">
        <f>(X42/Y42*100)</f>
        <v>0</v>
      </c>
      <c r="X42">
        <f>BH42*(BM42+BN42)/1000</f>
        <v>0</v>
      </c>
      <c r="Y42">
        <f>0.61365*exp(17.502*BO42/(240.97+BO42))</f>
        <v>0</v>
      </c>
      <c r="Z42">
        <f>(V42-BH42*(BM42+BN42)/1000)</f>
        <v>0</v>
      </c>
      <c r="AA42">
        <f>(-H42*44100)</f>
        <v>0</v>
      </c>
      <c r="AB42">
        <f>2*29.3*P42*0.92*(BO42-U42)</f>
        <v>0</v>
      </c>
      <c r="AC42">
        <f>2*0.95*5.67E-8*(((BO42+$B$7)+273)^4-(U42+273)^4)</f>
        <v>0</v>
      </c>
      <c r="AD42">
        <f>S42+AC42+AA42+AB42</f>
        <v>0</v>
      </c>
      <c r="AE42">
        <f>BL42*AS42*(BG42-BF42*(1000-AS42*BI42)/(1000-AS42*BH42))/(100*AZ42)</f>
        <v>0</v>
      </c>
      <c r="AF42">
        <f>1000*BL42*AS42*(BH42-BI42)/(100*AZ42*(1000-AS42*BH42))</f>
        <v>0</v>
      </c>
      <c r="AG42">
        <f>(AH42 - AI42 - BM42*1E3/(8.314*(BO42+273.15)) * AK42/BL42 * AJ42) * BL42/(100*AZ42) * (1000 - BI42)/1000</f>
        <v>0</v>
      </c>
      <c r="AH42">
        <v>412.8309768590775</v>
      </c>
      <c r="AI42">
        <v>413.1878242424241</v>
      </c>
      <c r="AJ42">
        <v>-0.001870783936363889</v>
      </c>
      <c r="AK42">
        <v>66.95054250457783</v>
      </c>
      <c r="AL42">
        <f>(AN42 - AM42 + BM42*1E3/(8.314*(BO42+273.15)) * AP42/BL42 * AO42) * BL42/(100*AZ42) * 1000/(1000 - AN42)</f>
        <v>0</v>
      </c>
      <c r="AM42">
        <v>18.9181345393585</v>
      </c>
      <c r="AN42">
        <v>18.91532303030304</v>
      </c>
      <c r="AO42">
        <v>0.003071188412548815</v>
      </c>
      <c r="AP42">
        <v>79.33052507436726</v>
      </c>
      <c r="AQ42">
        <v>29</v>
      </c>
      <c r="AR42">
        <v>4</v>
      </c>
      <c r="AS42">
        <f>IF(AQ42*$H$13&gt;=AU42,1.0,(AU42/(AU42-AQ42*$H$13)))</f>
        <v>0</v>
      </c>
      <c r="AT42">
        <f>(AS42-1)*100</f>
        <v>0</v>
      </c>
      <c r="AU42">
        <f>MAX(0,($B$13+$C$13*BT42)/(1+$D$13*BT42)*BM42/(BO42+273)*$E$13)</f>
        <v>0</v>
      </c>
      <c r="AV42">
        <f>$B$11*BU42+$C$11*BV42+$F$11*CG42*(1-CJ42)</f>
        <v>0</v>
      </c>
      <c r="AW42">
        <f>AV42*AX42</f>
        <v>0</v>
      </c>
      <c r="AX42">
        <f>($B$11*$D$9+$C$11*$D$9+$F$11*((CT42+CL42)/MAX(CT42+CL42+CU42, 0.1)*$I$9+CU42/MAX(CT42+CL42+CU42, 0.1)*$J$9))/($B$11+$C$11+$F$11)</f>
        <v>0</v>
      </c>
      <c r="AY42">
        <f>($B$11*$K$9+$C$11*$K$9+$F$11*((CT42+CL42)/MAX(CT42+CL42+CU42, 0.1)*$P$9+CU42/MAX(CT42+CL42+CU42, 0.1)*$Q$9))/($B$11+$C$11+$F$11)</f>
        <v>0</v>
      </c>
      <c r="AZ42">
        <v>6</v>
      </c>
      <c r="BA42">
        <v>0.5</v>
      </c>
      <c r="BB42" t="s">
        <v>353</v>
      </c>
      <c r="BC42">
        <v>2</v>
      </c>
      <c r="BD42" t="b">
        <v>0</v>
      </c>
      <c r="BE42">
        <v>1750960698.599999</v>
      </c>
      <c r="BF42">
        <v>405.2571612903225</v>
      </c>
      <c r="BG42">
        <v>404.9901290322581</v>
      </c>
      <c r="BH42">
        <v>18.88020322580645</v>
      </c>
      <c r="BI42">
        <v>18.90788387096774</v>
      </c>
      <c r="BJ42">
        <v>404.0751612903225</v>
      </c>
      <c r="BK42">
        <v>18.71320322580645</v>
      </c>
      <c r="BL42">
        <v>800.0137419354838</v>
      </c>
      <c r="BM42">
        <v>101.2182903225807</v>
      </c>
      <c r="BN42">
        <v>0.09979216129032259</v>
      </c>
      <c r="BO42">
        <v>26.53725806451613</v>
      </c>
      <c r="BP42">
        <v>26.4077064516129</v>
      </c>
      <c r="BQ42">
        <v>999.9000000000003</v>
      </c>
      <c r="BR42">
        <v>0</v>
      </c>
      <c r="BS42">
        <v>0</v>
      </c>
      <c r="BT42">
        <v>10009.2</v>
      </c>
      <c r="BU42">
        <v>0</v>
      </c>
      <c r="BV42">
        <v>0.00152894</v>
      </c>
      <c r="BW42">
        <v>0.3237020322580644</v>
      </c>
      <c r="BX42">
        <v>413.1104193548387</v>
      </c>
      <c r="BY42">
        <v>412.7951935483871</v>
      </c>
      <c r="BZ42">
        <v>-0.0352212741935484</v>
      </c>
      <c r="CA42">
        <v>404.9901290322581</v>
      </c>
      <c r="CB42">
        <v>18.90788387096774</v>
      </c>
      <c r="CC42">
        <v>1.910259032258064</v>
      </c>
      <c r="CD42">
        <v>1.913823548387097</v>
      </c>
      <c r="CE42">
        <v>16.71946129032258</v>
      </c>
      <c r="CF42">
        <v>16.74883870967742</v>
      </c>
      <c r="CG42">
        <v>999.9701935483871</v>
      </c>
      <c r="CH42">
        <v>0.9600077419354842</v>
      </c>
      <c r="CI42">
        <v>0.03999246129032259</v>
      </c>
      <c r="CJ42">
        <v>0</v>
      </c>
      <c r="CK42">
        <v>1.521774193548387</v>
      </c>
      <c r="CL42">
        <v>0</v>
      </c>
      <c r="CM42">
        <v>4229.508387096775</v>
      </c>
      <c r="CN42">
        <v>7946.704193548386</v>
      </c>
      <c r="CO42">
        <v>35.62064516129031</v>
      </c>
      <c r="CP42">
        <v>38.31032258064516</v>
      </c>
      <c r="CQ42">
        <v>36.89283870967741</v>
      </c>
      <c r="CR42">
        <v>37.49970967741935</v>
      </c>
      <c r="CS42">
        <v>36.07645161290322</v>
      </c>
      <c r="CT42">
        <v>959.9793548387097</v>
      </c>
      <c r="CU42">
        <v>39.99</v>
      </c>
      <c r="CV42">
        <v>0</v>
      </c>
      <c r="CW42">
        <v>1750960723.7</v>
      </c>
      <c r="CX42">
        <v>0</v>
      </c>
      <c r="CY42">
        <v>1750960722.1</v>
      </c>
      <c r="CZ42" t="s">
        <v>435</v>
      </c>
      <c r="DA42">
        <v>1750960722.1</v>
      </c>
      <c r="DB42">
        <v>1750960721.6</v>
      </c>
      <c r="DC42">
        <v>26</v>
      </c>
      <c r="DD42">
        <v>-0.056</v>
      </c>
      <c r="DE42">
        <v>0.005</v>
      </c>
      <c r="DF42">
        <v>1.182</v>
      </c>
      <c r="DG42">
        <v>0.167</v>
      </c>
      <c r="DH42">
        <v>405</v>
      </c>
      <c r="DI42">
        <v>19</v>
      </c>
      <c r="DJ42">
        <v>0.38</v>
      </c>
      <c r="DK42">
        <v>0.2</v>
      </c>
      <c r="DL42">
        <v>0.321818625</v>
      </c>
      <c r="DM42">
        <v>0.136875500938086</v>
      </c>
      <c r="DN42">
        <v>0.02919035721063337</v>
      </c>
      <c r="DO42">
        <v>0</v>
      </c>
      <c r="DP42">
        <v>-0.0536711975</v>
      </c>
      <c r="DQ42">
        <v>0.403162461163227</v>
      </c>
      <c r="DR42">
        <v>0.04049715016417968</v>
      </c>
      <c r="DS42">
        <v>0</v>
      </c>
      <c r="DT42">
        <v>0</v>
      </c>
      <c r="DU42">
        <v>2</v>
      </c>
      <c r="DV42" t="s">
        <v>362</v>
      </c>
      <c r="DW42">
        <v>3.45047</v>
      </c>
      <c r="DX42">
        <v>2.7802</v>
      </c>
      <c r="DY42">
        <v>0.0973502</v>
      </c>
      <c r="DZ42">
        <v>0.0974588</v>
      </c>
      <c r="EA42">
        <v>0.100488</v>
      </c>
      <c r="EB42">
        <v>0.10002</v>
      </c>
      <c r="EC42">
        <v>27174.8</v>
      </c>
      <c r="ED42">
        <v>30941.2</v>
      </c>
      <c r="EE42">
        <v>29244</v>
      </c>
      <c r="EF42">
        <v>34872.2</v>
      </c>
      <c r="EG42">
        <v>30427.9</v>
      </c>
      <c r="EH42">
        <v>38955.7</v>
      </c>
      <c r="EI42">
        <v>36010.3</v>
      </c>
      <c r="EJ42">
        <v>46154</v>
      </c>
      <c r="EK42">
        <v>2.46665</v>
      </c>
      <c r="EL42">
        <v>2.22652</v>
      </c>
      <c r="EM42">
        <v>0.104651</v>
      </c>
      <c r="EN42">
        <v>0</v>
      </c>
      <c r="EO42">
        <v>24.7703</v>
      </c>
      <c r="EP42">
        <v>999.9</v>
      </c>
      <c r="EQ42">
        <v>64.09999999999999</v>
      </c>
      <c r="ER42">
        <v>26.7</v>
      </c>
      <c r="ES42">
        <v>22.2685</v>
      </c>
      <c r="ET42">
        <v>61.5547</v>
      </c>
      <c r="EU42">
        <v>25.5649</v>
      </c>
      <c r="EV42">
        <v>2</v>
      </c>
      <c r="EW42">
        <v>-0.227205</v>
      </c>
      <c r="EX42">
        <v>0</v>
      </c>
      <c r="EY42">
        <v>20.2938</v>
      </c>
      <c r="EZ42">
        <v>5.20756</v>
      </c>
      <c r="FA42">
        <v>11.968</v>
      </c>
      <c r="FB42">
        <v>4.98895</v>
      </c>
      <c r="FC42">
        <v>3.27125</v>
      </c>
      <c r="FD42">
        <v>3164</v>
      </c>
      <c r="FE42">
        <v>9999</v>
      </c>
      <c r="FF42">
        <v>9999</v>
      </c>
      <c r="FG42">
        <v>999.9</v>
      </c>
      <c r="FH42">
        <v>4.97264</v>
      </c>
      <c r="FI42">
        <v>1.86279</v>
      </c>
      <c r="FJ42">
        <v>1.86462</v>
      </c>
      <c r="FK42">
        <v>1.86308</v>
      </c>
      <c r="FL42">
        <v>1.86309</v>
      </c>
      <c r="FM42">
        <v>1.86359</v>
      </c>
      <c r="FN42">
        <v>1.86005</v>
      </c>
      <c r="FO42">
        <v>1.86291</v>
      </c>
      <c r="FP42">
        <v>0</v>
      </c>
      <c r="FQ42">
        <v>0</v>
      </c>
      <c r="FR42">
        <v>0</v>
      </c>
      <c r="FS42">
        <v>0</v>
      </c>
      <c r="FT42" t="s">
        <v>356</v>
      </c>
      <c r="FU42" t="s">
        <v>357</v>
      </c>
      <c r="FV42" t="s">
        <v>358</v>
      </c>
      <c r="FW42" t="s">
        <v>358</v>
      </c>
      <c r="FX42" t="s">
        <v>358</v>
      </c>
      <c r="FY42" t="s">
        <v>358</v>
      </c>
      <c r="FZ42">
        <v>0</v>
      </c>
      <c r="GA42">
        <v>100</v>
      </c>
      <c r="GB42">
        <v>100</v>
      </c>
      <c r="GC42">
        <v>1.182</v>
      </c>
      <c r="GD42">
        <v>0.167</v>
      </c>
      <c r="GE42">
        <v>1.522293297885174</v>
      </c>
      <c r="GF42">
        <v>-0.001033730503750798</v>
      </c>
      <c r="GG42">
        <v>9.120241388950126E-07</v>
      </c>
      <c r="GH42">
        <v>-2.246115299815222E-10</v>
      </c>
      <c r="GI42">
        <v>-0.1084078280690113</v>
      </c>
      <c r="GJ42">
        <v>-0.01814858093373864</v>
      </c>
      <c r="GK42">
        <v>0.002091959988359369</v>
      </c>
      <c r="GL42">
        <v>-1.90871700788604E-05</v>
      </c>
      <c r="GM42">
        <v>2</v>
      </c>
      <c r="GN42">
        <v>2210</v>
      </c>
      <c r="GO42">
        <v>1</v>
      </c>
      <c r="GP42">
        <v>26</v>
      </c>
      <c r="GQ42">
        <v>2</v>
      </c>
      <c r="GR42">
        <v>3.6</v>
      </c>
      <c r="GS42">
        <v>1.26953</v>
      </c>
      <c r="GT42">
        <v>2.37183</v>
      </c>
      <c r="GU42">
        <v>2.34741</v>
      </c>
      <c r="GV42">
        <v>2.71606</v>
      </c>
      <c r="GW42">
        <v>2.39868</v>
      </c>
      <c r="GX42">
        <v>2.28027</v>
      </c>
      <c r="GY42">
        <v>32.0024</v>
      </c>
      <c r="GZ42">
        <v>15.8307</v>
      </c>
      <c r="HA42">
        <v>18</v>
      </c>
      <c r="HB42">
        <v>781.079</v>
      </c>
      <c r="HC42">
        <v>648.063</v>
      </c>
      <c r="HD42">
        <v>25.8625</v>
      </c>
      <c r="HE42">
        <v>24.6847</v>
      </c>
      <c r="HF42">
        <v>30.0002</v>
      </c>
      <c r="HG42">
        <v>24.5441</v>
      </c>
      <c r="HH42">
        <v>24.504</v>
      </c>
      <c r="HI42">
        <v>25.4548</v>
      </c>
      <c r="HJ42">
        <v>22.1649</v>
      </c>
      <c r="HK42">
        <v>85.041</v>
      </c>
      <c r="HL42">
        <v>-999.9</v>
      </c>
      <c r="HM42">
        <v>405</v>
      </c>
      <c r="HN42">
        <v>18.8493</v>
      </c>
      <c r="HO42">
        <v>100.424</v>
      </c>
      <c r="HP42">
        <v>100.784</v>
      </c>
    </row>
    <row r="43" spans="1:224">
      <c r="A43">
        <v>27</v>
      </c>
      <c r="B43">
        <v>1750960829.6</v>
      </c>
      <c r="C43">
        <v>3558.599999904633</v>
      </c>
      <c r="D43" t="s">
        <v>436</v>
      </c>
      <c r="E43" t="s">
        <v>437</v>
      </c>
      <c r="F43">
        <v>15</v>
      </c>
      <c r="G43">
        <v>1750960821.849999</v>
      </c>
      <c r="H43">
        <f>(I43)/1000</f>
        <v>0</v>
      </c>
      <c r="I43">
        <f>IF(BD43, AL43, AF43)</f>
        <v>0</v>
      </c>
      <c r="J43">
        <f>IF(BD43, AG43, AE43)</f>
        <v>0</v>
      </c>
      <c r="K43">
        <f>BF43 - IF(AS43&gt;1, J43*AZ43*100.0/(AU43), 0)</f>
        <v>0</v>
      </c>
      <c r="L43">
        <f>((R43-H43/2)*K43-J43)/(R43+H43/2)</f>
        <v>0</v>
      </c>
      <c r="M43">
        <f>L43*(BM43+BN43)/1000.0</f>
        <v>0</v>
      </c>
      <c r="N43">
        <f>(BF43 - IF(AS43&gt;1, J43*AZ43*100.0/(AU43), 0))*(BM43+BN43)/1000.0</f>
        <v>0</v>
      </c>
      <c r="O43">
        <f>2.0/((1/Q43-1/P43)+SIGN(Q43)*SQRT((1/Q43-1/P43)*(1/Q43-1/P43) + 4*BA43/((BA43+1)*(BA43+1))*(2*1/Q43*1/P43-1/P43*1/P43)))</f>
        <v>0</v>
      </c>
      <c r="P43">
        <f>IF(LEFT(BB43,1)&lt;&gt;"0",IF(LEFT(BB43,1)="1",3.0,BC43),$D$5+$E$5*(BT43*BM43/($K$5*1000))+$F$5*(BT43*BM43/($K$5*1000))*MAX(MIN(AZ43,$J$5),$I$5)*MAX(MIN(AZ43,$J$5),$I$5)+$G$5*MAX(MIN(AZ43,$J$5),$I$5)*(BT43*BM43/($K$5*1000))+$H$5*(BT43*BM43/($K$5*1000))*(BT43*BM43/($K$5*1000)))</f>
        <v>0</v>
      </c>
      <c r="Q43">
        <f>H43*(1000-(1000*0.61365*exp(17.502*U43/(240.97+U43))/(BM43+BN43)+BH43)/2)/(1000*0.61365*exp(17.502*U43/(240.97+U43))/(BM43+BN43)-BH43)</f>
        <v>0</v>
      </c>
      <c r="R43">
        <f>1/((BA43+1)/(O43/1.6)+1/(P43/1.37)) + BA43/((BA43+1)/(O43/1.6) + BA43/(P43/1.37))</f>
        <v>0</v>
      </c>
      <c r="S43">
        <f>(AV43*AY43)</f>
        <v>0</v>
      </c>
      <c r="T43">
        <f>(BO43+(S43+2*0.95*5.67E-8*(((BO43+$B$7)+273)^4-(BO43+273)^4)-44100*H43)/(1.84*29.3*P43+8*0.95*5.67E-8*(BO43+273)^3))</f>
        <v>0</v>
      </c>
      <c r="U43">
        <f>($C$7*BP43+$D$7*BQ43+$E$7*T43)</f>
        <v>0</v>
      </c>
      <c r="V43">
        <f>0.61365*exp(17.502*U43/(240.97+U43))</f>
        <v>0</v>
      </c>
      <c r="W43">
        <f>(X43/Y43*100)</f>
        <v>0</v>
      </c>
      <c r="X43">
        <f>BH43*(BM43+BN43)/1000</f>
        <v>0</v>
      </c>
      <c r="Y43">
        <f>0.61365*exp(17.502*BO43/(240.97+BO43))</f>
        <v>0</v>
      </c>
      <c r="Z43">
        <f>(V43-BH43*(BM43+BN43)/1000)</f>
        <v>0</v>
      </c>
      <c r="AA43">
        <f>(-H43*44100)</f>
        <v>0</v>
      </c>
      <c r="AB43">
        <f>2*29.3*P43*0.92*(BO43-U43)</f>
        <v>0</v>
      </c>
      <c r="AC43">
        <f>2*0.95*5.67E-8*(((BO43+$B$7)+273)^4-(U43+273)^4)</f>
        <v>0</v>
      </c>
      <c r="AD43">
        <f>S43+AC43+AA43+AB43</f>
        <v>0</v>
      </c>
      <c r="AE43">
        <f>BL43*AS43*(BG43-BF43*(1000-AS43*BI43)/(1000-AS43*BH43))/(100*AZ43)</f>
        <v>0</v>
      </c>
      <c r="AF43">
        <f>1000*BL43*AS43*(BH43-BI43)/(100*AZ43*(1000-AS43*BH43))</f>
        <v>0</v>
      </c>
      <c r="AG43">
        <f>(AH43 - AI43 - BM43*1E3/(8.314*(BO43+273.15)) * AK43/BL43 * AJ43) * BL43/(100*AZ43) * (1000 - BI43)/1000</f>
        <v>0</v>
      </c>
      <c r="AH43">
        <v>412.3849099707909</v>
      </c>
      <c r="AI43">
        <v>408.4707575757577</v>
      </c>
      <c r="AJ43">
        <v>-0.0006606124875635495</v>
      </c>
      <c r="AK43">
        <v>66.94868866963951</v>
      </c>
      <c r="AL43">
        <f>(AN43 - AM43 + BM43*1E3/(8.314*(BO43+273.15)) * AP43/BL43 * AO43) * BL43/(100*AZ43) * 1000/(1000 - AN43)</f>
        <v>0</v>
      </c>
      <c r="AM43">
        <v>17.95605535380335</v>
      </c>
      <c r="AN43">
        <v>18.89227818181818</v>
      </c>
      <c r="AO43">
        <v>-1.734477617056363E-05</v>
      </c>
      <c r="AP43">
        <v>79.38531131170049</v>
      </c>
      <c r="AQ43">
        <v>3</v>
      </c>
      <c r="AR43">
        <v>0</v>
      </c>
      <c r="AS43">
        <f>IF(AQ43*$H$13&gt;=AU43,1.0,(AU43/(AU43-AQ43*$H$13)))</f>
        <v>0</v>
      </c>
      <c r="AT43">
        <f>(AS43-1)*100</f>
        <v>0</v>
      </c>
      <c r="AU43">
        <f>MAX(0,($B$13+$C$13*BT43)/(1+$D$13*BT43)*BM43/(BO43+273)*$E$13)</f>
        <v>0</v>
      </c>
      <c r="AV43">
        <f>$B$11*BU43+$C$11*BV43+$F$11*CG43*(1-CJ43)</f>
        <v>0</v>
      </c>
      <c r="AW43">
        <f>AV43*AX43</f>
        <v>0</v>
      </c>
      <c r="AX43">
        <f>($B$11*$D$9+$C$11*$D$9+$F$11*((CT43+CL43)/MAX(CT43+CL43+CU43, 0.1)*$I$9+CU43/MAX(CT43+CL43+CU43, 0.1)*$J$9))/($B$11+$C$11+$F$11)</f>
        <v>0</v>
      </c>
      <c r="AY43">
        <f>($B$11*$K$9+$C$11*$K$9+$F$11*((CT43+CL43)/MAX(CT43+CL43+CU43, 0.1)*$P$9+CU43/MAX(CT43+CL43+CU43, 0.1)*$Q$9))/($B$11+$C$11+$F$11)</f>
        <v>0</v>
      </c>
      <c r="AZ43">
        <v>6</v>
      </c>
      <c r="BA43">
        <v>0.5</v>
      </c>
      <c r="BB43" t="s">
        <v>353</v>
      </c>
      <c r="BC43">
        <v>2</v>
      </c>
      <c r="BD43" t="b">
        <v>0</v>
      </c>
      <c r="BE43">
        <v>1750960821.849999</v>
      </c>
      <c r="BF43">
        <v>400.7901999999999</v>
      </c>
      <c r="BG43">
        <v>404.9952</v>
      </c>
      <c r="BH43">
        <v>18.85216</v>
      </c>
      <c r="BI43">
        <v>17.96011666666667</v>
      </c>
      <c r="BJ43">
        <v>399.5871999999999</v>
      </c>
      <c r="BK43">
        <v>18.73016</v>
      </c>
      <c r="BL43">
        <v>799.9983333333332</v>
      </c>
      <c r="BM43">
        <v>101.2209666666667</v>
      </c>
      <c r="BN43">
        <v>0.09990534333333335</v>
      </c>
      <c r="BO43">
        <v>26.53148</v>
      </c>
      <c r="BP43">
        <v>26.40621333333333</v>
      </c>
      <c r="BQ43">
        <v>999.9000000000002</v>
      </c>
      <c r="BR43">
        <v>0</v>
      </c>
      <c r="BS43">
        <v>0</v>
      </c>
      <c r="BT43">
        <v>9999.689666666667</v>
      </c>
      <c r="BU43">
        <v>0</v>
      </c>
      <c r="BV43">
        <v>0.00152894</v>
      </c>
      <c r="BW43">
        <v>-4.223851999999999</v>
      </c>
      <c r="BX43">
        <v>408.49</v>
      </c>
      <c r="BY43">
        <v>412.4020666666667</v>
      </c>
      <c r="BZ43">
        <v>0.9353793333333333</v>
      </c>
      <c r="CA43">
        <v>404.9952</v>
      </c>
      <c r="CB43">
        <v>17.96011666666667</v>
      </c>
      <c r="CC43">
        <v>1.912618333333334</v>
      </c>
      <c r="CD43">
        <v>1.817938</v>
      </c>
      <c r="CE43">
        <v>16.73891333333333</v>
      </c>
      <c r="CF43">
        <v>15.94189</v>
      </c>
      <c r="CG43">
        <v>1000.000166666667</v>
      </c>
      <c r="CH43">
        <v>0.9599815</v>
      </c>
      <c r="CI43">
        <v>0.04001821666666665</v>
      </c>
      <c r="CJ43">
        <v>0</v>
      </c>
      <c r="CK43">
        <v>3.146166666666666</v>
      </c>
      <c r="CL43">
        <v>0</v>
      </c>
      <c r="CM43">
        <v>6740.108666666667</v>
      </c>
      <c r="CN43">
        <v>7946.851666666668</v>
      </c>
      <c r="CO43">
        <v>36.43736666666667</v>
      </c>
      <c r="CP43">
        <v>40.32466666666665</v>
      </c>
      <c r="CQ43">
        <v>37.87469999999999</v>
      </c>
      <c r="CR43">
        <v>39.32056666666666</v>
      </c>
      <c r="CS43">
        <v>36.94769999999999</v>
      </c>
      <c r="CT43">
        <v>959.9813333333335</v>
      </c>
      <c r="CU43">
        <v>40.01966666666667</v>
      </c>
      <c r="CV43">
        <v>0</v>
      </c>
      <c r="CW43">
        <v>1750960846.7</v>
      </c>
      <c r="CX43">
        <v>0</v>
      </c>
      <c r="CY43">
        <v>1750960848.1</v>
      </c>
      <c r="CZ43" t="s">
        <v>438</v>
      </c>
      <c r="DA43">
        <v>1750960848.1</v>
      </c>
      <c r="DB43">
        <v>1750960846.6</v>
      </c>
      <c r="DC43">
        <v>27</v>
      </c>
      <c r="DD43">
        <v>0.021</v>
      </c>
      <c r="DE43">
        <v>-0.007</v>
      </c>
      <c r="DF43">
        <v>1.203</v>
      </c>
      <c r="DG43">
        <v>0.122</v>
      </c>
      <c r="DH43">
        <v>405</v>
      </c>
      <c r="DI43">
        <v>18</v>
      </c>
      <c r="DJ43">
        <v>0.41</v>
      </c>
      <c r="DK43">
        <v>0.09</v>
      </c>
      <c r="DL43">
        <v>-4.20733775</v>
      </c>
      <c r="DM43">
        <v>-0.2860616510318924</v>
      </c>
      <c r="DN43">
        <v>0.03219674482672899</v>
      </c>
      <c r="DO43">
        <v>0</v>
      </c>
      <c r="DP43">
        <v>0.93674605</v>
      </c>
      <c r="DQ43">
        <v>-0.0243930506566604</v>
      </c>
      <c r="DR43">
        <v>0.003395061832647536</v>
      </c>
      <c r="DS43">
        <v>1</v>
      </c>
      <c r="DT43">
        <v>1</v>
      </c>
      <c r="DU43">
        <v>2</v>
      </c>
      <c r="DV43" t="s">
        <v>355</v>
      </c>
      <c r="DW43">
        <v>3.45004</v>
      </c>
      <c r="DX43">
        <v>2.78085</v>
      </c>
      <c r="DY43">
        <v>0.0965042</v>
      </c>
      <c r="DZ43">
        <v>0.0974438</v>
      </c>
      <c r="EA43">
        <v>0.100373</v>
      </c>
      <c r="EB43">
        <v>0.09635489999999999</v>
      </c>
      <c r="EC43">
        <v>27198.1</v>
      </c>
      <c r="ED43">
        <v>30939.5</v>
      </c>
      <c r="EE43">
        <v>29241.8</v>
      </c>
      <c r="EF43">
        <v>34870</v>
      </c>
      <c r="EG43">
        <v>30429.6</v>
      </c>
      <c r="EH43">
        <v>39112.7</v>
      </c>
      <c r="EI43">
        <v>36007.5</v>
      </c>
      <c r="EJ43">
        <v>46151.7</v>
      </c>
      <c r="EK43">
        <v>2.5028</v>
      </c>
      <c r="EL43">
        <v>2.22272</v>
      </c>
      <c r="EM43">
        <v>0.097096</v>
      </c>
      <c r="EN43">
        <v>0</v>
      </c>
      <c r="EO43">
        <v>24.8235</v>
      </c>
      <c r="EP43">
        <v>999.9</v>
      </c>
      <c r="EQ43">
        <v>64.09999999999999</v>
      </c>
      <c r="ER43">
        <v>26.8</v>
      </c>
      <c r="ES43">
        <v>22.4003</v>
      </c>
      <c r="ET43">
        <v>61.8547</v>
      </c>
      <c r="EU43">
        <v>25.5889</v>
      </c>
      <c r="EV43">
        <v>2</v>
      </c>
      <c r="EW43">
        <v>-0.223999</v>
      </c>
      <c r="EX43">
        <v>0</v>
      </c>
      <c r="EY43">
        <v>20.2962</v>
      </c>
      <c r="EZ43">
        <v>5.2131</v>
      </c>
      <c r="FA43">
        <v>11.968</v>
      </c>
      <c r="FB43">
        <v>4.9909</v>
      </c>
      <c r="FC43">
        <v>3.272</v>
      </c>
      <c r="FD43">
        <v>3167.9</v>
      </c>
      <c r="FE43">
        <v>9999</v>
      </c>
      <c r="FF43">
        <v>9999</v>
      </c>
      <c r="FG43">
        <v>999.9</v>
      </c>
      <c r="FH43">
        <v>4.9726</v>
      </c>
      <c r="FI43">
        <v>1.86279</v>
      </c>
      <c r="FJ43">
        <v>1.86462</v>
      </c>
      <c r="FK43">
        <v>1.86309</v>
      </c>
      <c r="FL43">
        <v>1.8631</v>
      </c>
      <c r="FM43">
        <v>1.86357</v>
      </c>
      <c r="FN43">
        <v>1.86006</v>
      </c>
      <c r="FO43">
        <v>1.86292</v>
      </c>
      <c r="FP43">
        <v>0</v>
      </c>
      <c r="FQ43">
        <v>0</v>
      </c>
      <c r="FR43">
        <v>0</v>
      </c>
      <c r="FS43">
        <v>0</v>
      </c>
      <c r="FT43" t="s">
        <v>356</v>
      </c>
      <c r="FU43" t="s">
        <v>357</v>
      </c>
      <c r="FV43" t="s">
        <v>358</v>
      </c>
      <c r="FW43" t="s">
        <v>358</v>
      </c>
      <c r="FX43" t="s">
        <v>358</v>
      </c>
      <c r="FY43" t="s">
        <v>358</v>
      </c>
      <c r="FZ43">
        <v>0</v>
      </c>
      <c r="GA43">
        <v>100</v>
      </c>
      <c r="GB43">
        <v>100</v>
      </c>
      <c r="GC43">
        <v>1.203</v>
      </c>
      <c r="GD43">
        <v>0.122</v>
      </c>
      <c r="GE43">
        <v>1.465944455913358</v>
      </c>
      <c r="GF43">
        <v>-0.001033730503750798</v>
      </c>
      <c r="GG43">
        <v>9.120241388950126E-07</v>
      </c>
      <c r="GH43">
        <v>-2.246115299815222E-10</v>
      </c>
      <c r="GI43">
        <v>-0.1032191081759115</v>
      </c>
      <c r="GJ43">
        <v>-0.01814858093373864</v>
      </c>
      <c r="GK43">
        <v>0.002091959988359369</v>
      </c>
      <c r="GL43">
        <v>-1.90871700788604E-05</v>
      </c>
      <c r="GM43">
        <v>2</v>
      </c>
      <c r="GN43">
        <v>2210</v>
      </c>
      <c r="GO43">
        <v>1</v>
      </c>
      <c r="GP43">
        <v>26</v>
      </c>
      <c r="GQ43">
        <v>1.8</v>
      </c>
      <c r="GR43">
        <v>1.8</v>
      </c>
      <c r="GS43">
        <v>1.26831</v>
      </c>
      <c r="GT43">
        <v>2.36816</v>
      </c>
      <c r="GU43">
        <v>2.34741</v>
      </c>
      <c r="GV43">
        <v>2.71606</v>
      </c>
      <c r="GW43">
        <v>2.39868</v>
      </c>
      <c r="GX43">
        <v>2.28149</v>
      </c>
      <c r="GY43">
        <v>32.0684</v>
      </c>
      <c r="GZ43">
        <v>15.8219</v>
      </c>
      <c r="HA43">
        <v>18</v>
      </c>
      <c r="HB43">
        <v>812.425</v>
      </c>
      <c r="HC43">
        <v>645.328</v>
      </c>
      <c r="HD43">
        <v>25.9028</v>
      </c>
      <c r="HE43">
        <v>24.7303</v>
      </c>
      <c r="HF43">
        <v>30.0001</v>
      </c>
      <c r="HG43">
        <v>24.5759</v>
      </c>
      <c r="HH43">
        <v>24.5305</v>
      </c>
      <c r="HI43">
        <v>25.4418</v>
      </c>
      <c r="HJ43">
        <v>26.7995</v>
      </c>
      <c r="HK43">
        <v>85.04089999999999</v>
      </c>
      <c r="HL43">
        <v>-999.9</v>
      </c>
      <c r="HM43">
        <v>405</v>
      </c>
      <c r="HN43">
        <v>17.9017</v>
      </c>
      <c r="HO43">
        <v>100.417</v>
      </c>
      <c r="HP43">
        <v>100.778</v>
      </c>
    </row>
    <row r="44" spans="1:224">
      <c r="A44">
        <v>28</v>
      </c>
      <c r="B44">
        <v>1750961011</v>
      </c>
      <c r="C44">
        <v>3740</v>
      </c>
      <c r="D44" t="s">
        <v>439</v>
      </c>
      <c r="E44" t="s">
        <v>440</v>
      </c>
      <c r="F44">
        <v>15</v>
      </c>
      <c r="G44">
        <v>1750961003.25</v>
      </c>
      <c r="H44">
        <f>(I44)/1000</f>
        <v>0</v>
      </c>
      <c r="I44">
        <f>IF(BD44, AL44, AF44)</f>
        <v>0</v>
      </c>
      <c r="J44">
        <f>IF(BD44, AG44, AE44)</f>
        <v>0</v>
      </c>
      <c r="K44">
        <f>BF44 - IF(AS44&gt;1, J44*AZ44*100.0/(AU44), 0)</f>
        <v>0</v>
      </c>
      <c r="L44">
        <f>((R44-H44/2)*K44-J44)/(R44+H44/2)</f>
        <v>0</v>
      </c>
      <c r="M44">
        <f>L44*(BM44+BN44)/1000.0</f>
        <v>0</v>
      </c>
      <c r="N44">
        <f>(BF44 - IF(AS44&gt;1, J44*AZ44*100.0/(AU44), 0))*(BM44+BN44)/1000.0</f>
        <v>0</v>
      </c>
      <c r="O44">
        <f>2.0/((1/Q44-1/P44)+SIGN(Q44)*SQRT((1/Q44-1/P44)*(1/Q44-1/P44) + 4*BA44/((BA44+1)*(BA44+1))*(2*1/Q44*1/P44-1/P44*1/P44)))</f>
        <v>0</v>
      </c>
      <c r="P44">
        <f>IF(LEFT(BB44,1)&lt;&gt;"0",IF(LEFT(BB44,1)="1",3.0,BC44),$D$5+$E$5*(BT44*BM44/($K$5*1000))+$F$5*(BT44*BM44/($K$5*1000))*MAX(MIN(AZ44,$J$5),$I$5)*MAX(MIN(AZ44,$J$5),$I$5)+$G$5*MAX(MIN(AZ44,$J$5),$I$5)*(BT44*BM44/($K$5*1000))+$H$5*(BT44*BM44/($K$5*1000))*(BT44*BM44/($K$5*1000)))</f>
        <v>0</v>
      </c>
      <c r="Q44">
        <f>H44*(1000-(1000*0.61365*exp(17.502*U44/(240.97+U44))/(BM44+BN44)+BH44)/2)/(1000*0.61365*exp(17.502*U44/(240.97+U44))/(BM44+BN44)-BH44)</f>
        <v>0</v>
      </c>
      <c r="R44">
        <f>1/((BA44+1)/(O44/1.6)+1/(P44/1.37)) + BA44/((BA44+1)/(O44/1.6) + BA44/(P44/1.37))</f>
        <v>0</v>
      </c>
      <c r="S44">
        <f>(AV44*AY44)</f>
        <v>0</v>
      </c>
      <c r="T44">
        <f>(BO44+(S44+2*0.95*5.67E-8*(((BO44+$B$7)+273)^4-(BO44+273)^4)-44100*H44)/(1.84*29.3*P44+8*0.95*5.67E-8*(BO44+273)^3))</f>
        <v>0</v>
      </c>
      <c r="U44">
        <f>($C$7*BP44+$D$7*BQ44+$E$7*T44)</f>
        <v>0</v>
      </c>
      <c r="V44">
        <f>0.61365*exp(17.502*U44/(240.97+U44))</f>
        <v>0</v>
      </c>
      <c r="W44">
        <f>(X44/Y44*100)</f>
        <v>0</v>
      </c>
      <c r="X44">
        <f>BH44*(BM44+BN44)/1000</f>
        <v>0</v>
      </c>
      <c r="Y44">
        <f>0.61365*exp(17.502*BO44/(240.97+BO44))</f>
        <v>0</v>
      </c>
      <c r="Z44">
        <f>(V44-BH44*(BM44+BN44)/1000)</f>
        <v>0</v>
      </c>
      <c r="AA44">
        <f>(-H44*44100)</f>
        <v>0</v>
      </c>
      <c r="AB44">
        <f>2*29.3*P44*0.92*(BO44-U44)</f>
        <v>0</v>
      </c>
      <c r="AC44">
        <f>2*0.95*5.67E-8*(((BO44+$B$7)+273)^4-(U44+273)^4)</f>
        <v>0</v>
      </c>
      <c r="AD44">
        <f>S44+AC44+AA44+AB44</f>
        <v>0</v>
      </c>
      <c r="AE44">
        <f>BL44*AS44*(BG44-BF44*(1000-AS44*BI44)/(1000-AS44*BH44))/(100*AZ44)</f>
        <v>0</v>
      </c>
      <c r="AF44">
        <f>1000*BL44*AS44*(BH44-BI44)/(100*AZ44*(1000-AS44*BH44))</f>
        <v>0</v>
      </c>
      <c r="AG44">
        <f>(AH44 - AI44 - BM44*1E3/(8.314*(BO44+273.15)) * AK44/BL44 * AJ44) * BL44/(100*AZ44) * (1000 - BI44)/1000</f>
        <v>0</v>
      </c>
      <c r="AH44">
        <v>412.4456114160567</v>
      </c>
      <c r="AI44">
        <v>408.2057939393937</v>
      </c>
      <c r="AJ44">
        <v>-0.0001593040873873254</v>
      </c>
      <c r="AK44">
        <v>66.95020694242453</v>
      </c>
      <c r="AL44">
        <f>(AN44 - AM44 + BM44*1E3/(8.314*(BO44+273.15)) * AP44/BL44 * AO44) * BL44/(100*AZ44) * 1000/(1000 - AN44)</f>
        <v>0</v>
      </c>
      <c r="AM44">
        <v>18.06522006578878</v>
      </c>
      <c r="AN44">
        <v>18.83459151515152</v>
      </c>
      <c r="AO44">
        <v>0.003874100462345079</v>
      </c>
      <c r="AP44">
        <v>79.29136669819368</v>
      </c>
      <c r="AQ44">
        <v>316</v>
      </c>
      <c r="AR44">
        <v>39</v>
      </c>
      <c r="AS44">
        <f>IF(AQ44*$H$13&gt;=AU44,1.0,(AU44/(AU44-AQ44*$H$13)))</f>
        <v>0</v>
      </c>
      <c r="AT44">
        <f>(AS44-1)*100</f>
        <v>0</v>
      </c>
      <c r="AU44">
        <f>MAX(0,($B$13+$C$13*BT44)/(1+$D$13*BT44)*BM44/(BO44+273)*$E$13)</f>
        <v>0</v>
      </c>
      <c r="AV44">
        <f>$B$11*BU44+$C$11*BV44+$F$11*CG44*(1-CJ44)</f>
        <v>0</v>
      </c>
      <c r="AW44">
        <f>AV44*AX44</f>
        <v>0</v>
      </c>
      <c r="AX44">
        <f>($B$11*$D$9+$C$11*$D$9+$F$11*((CT44+CL44)/MAX(CT44+CL44+CU44, 0.1)*$I$9+CU44/MAX(CT44+CL44+CU44, 0.1)*$J$9))/($B$11+$C$11+$F$11)</f>
        <v>0</v>
      </c>
      <c r="AY44">
        <f>($B$11*$K$9+$C$11*$K$9+$F$11*((CT44+CL44)/MAX(CT44+CL44+CU44, 0.1)*$P$9+CU44/MAX(CT44+CL44+CU44, 0.1)*$Q$9))/($B$11+$C$11+$F$11)</f>
        <v>0</v>
      </c>
      <c r="AZ44">
        <v>6</v>
      </c>
      <c r="BA44">
        <v>0.5</v>
      </c>
      <c r="BB44" t="s">
        <v>353</v>
      </c>
      <c r="BC44">
        <v>2</v>
      </c>
      <c r="BD44" t="b">
        <v>0</v>
      </c>
      <c r="BE44">
        <v>1750961003.25</v>
      </c>
      <c r="BF44">
        <v>400.4949333333332</v>
      </c>
      <c r="BG44">
        <v>404.9855999999999</v>
      </c>
      <c r="BH44">
        <v>18.77892333333333</v>
      </c>
      <c r="BI44">
        <v>18.03811</v>
      </c>
      <c r="BJ44">
        <v>399.3329333333332</v>
      </c>
      <c r="BK44">
        <v>18.64592333333333</v>
      </c>
      <c r="BL44">
        <v>800.0088333333334</v>
      </c>
      <c r="BM44">
        <v>101.2166666666667</v>
      </c>
      <c r="BN44">
        <v>0.1001572</v>
      </c>
      <c r="BO44">
        <v>26.54053</v>
      </c>
      <c r="BP44">
        <v>26.07055666666667</v>
      </c>
      <c r="BQ44">
        <v>999.9000000000002</v>
      </c>
      <c r="BR44">
        <v>0</v>
      </c>
      <c r="BS44">
        <v>0</v>
      </c>
      <c r="BT44">
        <v>10000.517</v>
      </c>
      <c r="BU44">
        <v>0</v>
      </c>
      <c r="BV44">
        <v>0.001535628666666667</v>
      </c>
      <c r="BW44">
        <v>-4.447380666666666</v>
      </c>
      <c r="BX44">
        <v>408.2128666666667</v>
      </c>
      <c r="BY44">
        <v>412.4250333333333</v>
      </c>
      <c r="BZ44">
        <v>0.7624267333333333</v>
      </c>
      <c r="CA44">
        <v>404.9855999999999</v>
      </c>
      <c r="CB44">
        <v>18.03811</v>
      </c>
      <c r="CC44">
        <v>1.902930333333333</v>
      </c>
      <c r="CD44">
        <v>1.825760666666667</v>
      </c>
      <c r="CE44">
        <v>16.65897333333333</v>
      </c>
      <c r="CF44">
        <v>16.00908333333333</v>
      </c>
      <c r="CG44">
        <v>999.9785666666667</v>
      </c>
      <c r="CH44">
        <v>0.9599980666666666</v>
      </c>
      <c r="CI44">
        <v>0.04000198</v>
      </c>
      <c r="CJ44">
        <v>0</v>
      </c>
      <c r="CK44">
        <v>0.5183333333333334</v>
      </c>
      <c r="CL44">
        <v>0</v>
      </c>
      <c r="CM44">
        <v>5308.968999999999</v>
      </c>
      <c r="CN44">
        <v>7946.743666666667</v>
      </c>
      <c r="CO44">
        <v>36.97893333333333</v>
      </c>
      <c r="CP44">
        <v>40.00393333333333</v>
      </c>
      <c r="CQ44">
        <v>38.32053333333332</v>
      </c>
      <c r="CR44">
        <v>39.45806666666667</v>
      </c>
      <c r="CS44">
        <v>37.3622</v>
      </c>
      <c r="CT44">
        <v>959.9786666666668</v>
      </c>
      <c r="CU44">
        <v>40.001</v>
      </c>
      <c r="CV44">
        <v>0</v>
      </c>
      <c r="CW44">
        <v>1750961028.5</v>
      </c>
      <c r="CX44">
        <v>0</v>
      </c>
      <c r="CY44">
        <v>1750961031.5</v>
      </c>
      <c r="CZ44" t="s">
        <v>441</v>
      </c>
      <c r="DA44">
        <v>1750961031.5</v>
      </c>
      <c r="DB44">
        <v>1750961030</v>
      </c>
      <c r="DC44">
        <v>28</v>
      </c>
      <c r="DD44">
        <v>-0.041</v>
      </c>
      <c r="DE44">
        <v>0.006</v>
      </c>
      <c r="DF44">
        <v>1.162</v>
      </c>
      <c r="DG44">
        <v>0.133</v>
      </c>
      <c r="DH44">
        <v>405</v>
      </c>
      <c r="DI44">
        <v>18</v>
      </c>
      <c r="DJ44">
        <v>0.47</v>
      </c>
      <c r="DK44">
        <v>0.08</v>
      </c>
      <c r="DL44">
        <v>-4.4407765</v>
      </c>
      <c r="DM44">
        <v>-0.1831985741087939</v>
      </c>
      <c r="DN44">
        <v>0.02951546946518035</v>
      </c>
      <c r="DO44">
        <v>0</v>
      </c>
      <c r="DP44">
        <v>0.7647788</v>
      </c>
      <c r="DQ44">
        <v>-0.07191102439024477</v>
      </c>
      <c r="DR44">
        <v>0.01088839066896482</v>
      </c>
      <c r="DS44">
        <v>1</v>
      </c>
      <c r="DT44">
        <v>1</v>
      </c>
      <c r="DU44">
        <v>2</v>
      </c>
      <c r="DV44" t="s">
        <v>355</v>
      </c>
      <c r="DW44">
        <v>3.45021</v>
      </c>
      <c r="DX44">
        <v>2.78088</v>
      </c>
      <c r="DY44">
        <v>0.0964655</v>
      </c>
      <c r="DZ44">
        <v>0.0974491</v>
      </c>
      <c r="EA44">
        <v>0.100196</v>
      </c>
      <c r="EB44">
        <v>0.0968009</v>
      </c>
      <c r="EC44">
        <v>27202.8</v>
      </c>
      <c r="ED44">
        <v>30942.6</v>
      </c>
      <c r="EE44">
        <v>29245.4</v>
      </c>
      <c r="EF44">
        <v>34873.4</v>
      </c>
      <c r="EG44">
        <v>30440.2</v>
      </c>
      <c r="EH44">
        <v>39098.1</v>
      </c>
      <c r="EI44">
        <v>36013.1</v>
      </c>
      <c r="EJ44">
        <v>46157.5</v>
      </c>
      <c r="EK44">
        <v>1.9778</v>
      </c>
      <c r="EL44">
        <v>2.2236</v>
      </c>
      <c r="EM44">
        <v>0.09430570000000001</v>
      </c>
      <c r="EN44">
        <v>0</v>
      </c>
      <c r="EO44">
        <v>24.5441</v>
      </c>
      <c r="EP44">
        <v>999.9</v>
      </c>
      <c r="EQ44">
        <v>63.7</v>
      </c>
      <c r="ER44">
        <v>26.9</v>
      </c>
      <c r="ES44">
        <v>22.3925</v>
      </c>
      <c r="ET44">
        <v>62.0448</v>
      </c>
      <c r="EU44">
        <v>25.7572</v>
      </c>
      <c r="EV44">
        <v>2</v>
      </c>
      <c r="EW44">
        <v>-0.229093</v>
      </c>
      <c r="EX44">
        <v>0</v>
      </c>
      <c r="EY44">
        <v>20.2945</v>
      </c>
      <c r="EZ44">
        <v>5.211</v>
      </c>
      <c r="FA44">
        <v>11.968</v>
      </c>
      <c r="FB44">
        <v>4.99115</v>
      </c>
      <c r="FC44">
        <v>3.272</v>
      </c>
      <c r="FD44">
        <v>3173.4</v>
      </c>
      <c r="FE44">
        <v>9999</v>
      </c>
      <c r="FF44">
        <v>9999</v>
      </c>
      <c r="FG44">
        <v>999.9</v>
      </c>
      <c r="FH44">
        <v>4.97262</v>
      </c>
      <c r="FI44">
        <v>1.86279</v>
      </c>
      <c r="FJ44">
        <v>1.86461</v>
      </c>
      <c r="FK44">
        <v>1.86305</v>
      </c>
      <c r="FL44">
        <v>1.86304</v>
      </c>
      <c r="FM44">
        <v>1.86356</v>
      </c>
      <c r="FN44">
        <v>1.86005</v>
      </c>
      <c r="FO44">
        <v>1.86292</v>
      </c>
      <c r="FP44">
        <v>0</v>
      </c>
      <c r="FQ44">
        <v>0</v>
      </c>
      <c r="FR44">
        <v>0</v>
      </c>
      <c r="FS44">
        <v>0</v>
      </c>
      <c r="FT44" t="s">
        <v>356</v>
      </c>
      <c r="FU44" t="s">
        <v>357</v>
      </c>
      <c r="FV44" t="s">
        <v>358</v>
      </c>
      <c r="FW44" t="s">
        <v>358</v>
      </c>
      <c r="FX44" t="s">
        <v>358</v>
      </c>
      <c r="FY44" t="s">
        <v>358</v>
      </c>
      <c r="FZ44">
        <v>0</v>
      </c>
      <c r="GA44">
        <v>100</v>
      </c>
      <c r="GB44">
        <v>100</v>
      </c>
      <c r="GC44">
        <v>1.162</v>
      </c>
      <c r="GD44">
        <v>0.133</v>
      </c>
      <c r="GE44">
        <v>1.486923076021082</v>
      </c>
      <c r="GF44">
        <v>-0.001033730503750798</v>
      </c>
      <c r="GG44">
        <v>9.120241388950126E-07</v>
      </c>
      <c r="GH44">
        <v>-2.246115299815222E-10</v>
      </c>
      <c r="GI44">
        <v>-0.110552300426645</v>
      </c>
      <c r="GJ44">
        <v>-0.01814858093373864</v>
      </c>
      <c r="GK44">
        <v>0.002091959988359369</v>
      </c>
      <c r="GL44">
        <v>-1.90871700788604E-05</v>
      </c>
      <c r="GM44">
        <v>2</v>
      </c>
      <c r="GN44">
        <v>2210</v>
      </c>
      <c r="GO44">
        <v>1</v>
      </c>
      <c r="GP44">
        <v>26</v>
      </c>
      <c r="GQ44">
        <v>2.7</v>
      </c>
      <c r="GR44">
        <v>2.7</v>
      </c>
      <c r="GS44">
        <v>1.26953</v>
      </c>
      <c r="GT44">
        <v>2.37549</v>
      </c>
      <c r="GU44">
        <v>2.34741</v>
      </c>
      <c r="GV44">
        <v>2.71851</v>
      </c>
      <c r="GW44">
        <v>2.39868</v>
      </c>
      <c r="GX44">
        <v>2.28027</v>
      </c>
      <c r="GY44">
        <v>31.9365</v>
      </c>
      <c r="GZ44">
        <v>15.7869</v>
      </c>
      <c r="HA44">
        <v>18</v>
      </c>
      <c r="HB44">
        <v>448.872</v>
      </c>
      <c r="HC44">
        <v>645.511</v>
      </c>
      <c r="HD44">
        <v>25.838</v>
      </c>
      <c r="HE44">
        <v>24.6705</v>
      </c>
      <c r="HF44">
        <v>30</v>
      </c>
      <c r="HG44">
        <v>24.5424</v>
      </c>
      <c r="HH44">
        <v>24.4876</v>
      </c>
      <c r="HI44">
        <v>25.4579</v>
      </c>
      <c r="HJ44">
        <v>26.0776</v>
      </c>
      <c r="HK44">
        <v>84.6688</v>
      </c>
      <c r="HL44">
        <v>-999.9</v>
      </c>
      <c r="HM44">
        <v>405</v>
      </c>
      <c r="HN44">
        <v>18.1118</v>
      </c>
      <c r="HO44">
        <v>100.431</v>
      </c>
      <c r="HP44">
        <v>100.789</v>
      </c>
    </row>
    <row r="45" spans="1:224">
      <c r="A45">
        <v>29</v>
      </c>
      <c r="B45">
        <v>1750961164.5</v>
      </c>
      <c r="C45">
        <v>3893.5</v>
      </c>
      <c r="D45" t="s">
        <v>442</v>
      </c>
      <c r="E45" t="s">
        <v>443</v>
      </c>
      <c r="F45">
        <v>15</v>
      </c>
      <c r="G45">
        <v>1750961156.5</v>
      </c>
      <c r="H45">
        <f>(I45)/1000</f>
        <v>0</v>
      </c>
      <c r="I45">
        <f>IF(BD45, AL45, AF45)</f>
        <v>0</v>
      </c>
      <c r="J45">
        <f>IF(BD45, AG45, AE45)</f>
        <v>0</v>
      </c>
      <c r="K45">
        <f>BF45 - IF(AS45&gt;1, J45*AZ45*100.0/(AU45), 0)</f>
        <v>0</v>
      </c>
      <c r="L45">
        <f>((R45-H45/2)*K45-J45)/(R45+H45/2)</f>
        <v>0</v>
      </c>
      <c r="M45">
        <f>L45*(BM45+BN45)/1000.0</f>
        <v>0</v>
      </c>
      <c r="N45">
        <f>(BF45 - IF(AS45&gt;1, J45*AZ45*100.0/(AU45), 0))*(BM45+BN45)/1000.0</f>
        <v>0</v>
      </c>
      <c r="O45">
        <f>2.0/((1/Q45-1/P45)+SIGN(Q45)*SQRT((1/Q45-1/P45)*(1/Q45-1/P45) + 4*BA45/((BA45+1)*(BA45+1))*(2*1/Q45*1/P45-1/P45*1/P45)))</f>
        <v>0</v>
      </c>
      <c r="P45">
        <f>IF(LEFT(BB45,1)&lt;&gt;"0",IF(LEFT(BB45,1)="1",3.0,BC45),$D$5+$E$5*(BT45*BM45/($K$5*1000))+$F$5*(BT45*BM45/($K$5*1000))*MAX(MIN(AZ45,$J$5),$I$5)*MAX(MIN(AZ45,$J$5),$I$5)+$G$5*MAX(MIN(AZ45,$J$5),$I$5)*(BT45*BM45/($K$5*1000))+$H$5*(BT45*BM45/($K$5*1000))*(BT45*BM45/($K$5*1000)))</f>
        <v>0</v>
      </c>
      <c r="Q45">
        <f>H45*(1000-(1000*0.61365*exp(17.502*U45/(240.97+U45))/(BM45+BN45)+BH45)/2)/(1000*0.61365*exp(17.502*U45/(240.97+U45))/(BM45+BN45)-BH45)</f>
        <v>0</v>
      </c>
      <c r="R45">
        <f>1/((BA45+1)/(O45/1.6)+1/(P45/1.37)) + BA45/((BA45+1)/(O45/1.6) + BA45/(P45/1.37))</f>
        <v>0</v>
      </c>
      <c r="S45">
        <f>(AV45*AY45)</f>
        <v>0</v>
      </c>
      <c r="T45">
        <f>(BO45+(S45+2*0.95*5.67E-8*(((BO45+$B$7)+273)^4-(BO45+273)^4)-44100*H45)/(1.84*29.3*P45+8*0.95*5.67E-8*(BO45+273)^3))</f>
        <v>0</v>
      </c>
      <c r="U45">
        <f>($C$7*BP45+$D$7*BQ45+$E$7*T45)</f>
        <v>0</v>
      </c>
      <c r="V45">
        <f>0.61365*exp(17.502*U45/(240.97+U45))</f>
        <v>0</v>
      </c>
      <c r="W45">
        <f>(X45/Y45*100)</f>
        <v>0</v>
      </c>
      <c r="X45">
        <f>BH45*(BM45+BN45)/1000</f>
        <v>0</v>
      </c>
      <c r="Y45">
        <f>0.61365*exp(17.502*BO45/(240.97+BO45))</f>
        <v>0</v>
      </c>
      <c r="Z45">
        <f>(V45-BH45*(BM45+BN45)/1000)</f>
        <v>0</v>
      </c>
      <c r="AA45">
        <f>(-H45*44100)</f>
        <v>0</v>
      </c>
      <c r="AB45">
        <f>2*29.3*P45*0.92*(BO45-U45)</f>
        <v>0</v>
      </c>
      <c r="AC45">
        <f>2*0.95*5.67E-8*(((BO45+$B$7)+273)^4-(U45+273)^4)</f>
        <v>0</v>
      </c>
      <c r="AD45">
        <f>S45+AC45+AA45+AB45</f>
        <v>0</v>
      </c>
      <c r="AE45">
        <f>BL45*AS45*(BG45-BF45*(1000-AS45*BI45)/(1000-AS45*BH45))/(100*AZ45)</f>
        <v>0</v>
      </c>
      <c r="AF45">
        <f>1000*BL45*AS45*(BH45-BI45)/(100*AZ45*(1000-AS45*BH45))</f>
        <v>0</v>
      </c>
      <c r="AG45">
        <f>(AH45 - AI45 - BM45*1E3/(8.314*(BO45+273.15)) * AK45/BL45 * AJ45) * BL45/(100*AZ45) * (1000 - BI45)/1000</f>
        <v>0</v>
      </c>
      <c r="AH45">
        <v>412.4920321123822</v>
      </c>
      <c r="AI45">
        <v>409.550624242424</v>
      </c>
      <c r="AJ45">
        <v>0.001605491377667485</v>
      </c>
      <c r="AK45">
        <v>66.95280814069686</v>
      </c>
      <c r="AL45">
        <f>(AN45 - AM45 + BM45*1E3/(8.314*(BO45+273.15)) * AP45/BL45 * AO45) * BL45/(100*AZ45) * 1000/(1000 - AN45)</f>
        <v>0</v>
      </c>
      <c r="AM45">
        <v>18.21833388181004</v>
      </c>
      <c r="AN45">
        <v>18.4172606060606</v>
      </c>
      <c r="AO45">
        <v>-5.859990543027324E-05</v>
      </c>
      <c r="AP45">
        <v>79.24560463236672</v>
      </c>
      <c r="AQ45">
        <v>799</v>
      </c>
      <c r="AR45">
        <v>100</v>
      </c>
      <c r="AS45">
        <f>IF(AQ45*$H$13&gt;=AU45,1.0,(AU45/(AU45-AQ45*$H$13)))</f>
        <v>0</v>
      </c>
      <c r="AT45">
        <f>(AS45-1)*100</f>
        <v>0</v>
      </c>
      <c r="AU45">
        <f>MAX(0,($B$13+$C$13*BT45)/(1+$D$13*BT45)*BM45/(BO45+273)*$E$13)</f>
        <v>0</v>
      </c>
      <c r="AV45">
        <f>$B$11*BU45+$C$11*BV45+$F$11*CG45*(1-CJ45)</f>
        <v>0</v>
      </c>
      <c r="AW45">
        <f>AV45*AX45</f>
        <v>0</v>
      </c>
      <c r="AX45">
        <f>($B$11*$D$9+$C$11*$D$9+$F$11*((CT45+CL45)/MAX(CT45+CL45+CU45, 0.1)*$I$9+CU45/MAX(CT45+CL45+CU45, 0.1)*$J$9))/($B$11+$C$11+$F$11)</f>
        <v>0</v>
      </c>
      <c r="AY45">
        <f>($B$11*$K$9+$C$11*$K$9+$F$11*((CT45+CL45)/MAX(CT45+CL45+CU45, 0.1)*$P$9+CU45/MAX(CT45+CL45+CU45, 0.1)*$Q$9))/($B$11+$C$11+$F$11)</f>
        <v>0</v>
      </c>
      <c r="AZ45">
        <v>6</v>
      </c>
      <c r="BA45">
        <v>0.5</v>
      </c>
      <c r="BB45" t="s">
        <v>353</v>
      </c>
      <c r="BC45">
        <v>2</v>
      </c>
      <c r="BD45" t="b">
        <v>0</v>
      </c>
      <c r="BE45">
        <v>1750961156.5</v>
      </c>
      <c r="BF45">
        <v>401.9339032258065</v>
      </c>
      <c r="BG45">
        <v>404.9882580645161</v>
      </c>
      <c r="BH45">
        <v>18.43344193548387</v>
      </c>
      <c r="BI45">
        <v>18.2209064516129</v>
      </c>
      <c r="BJ45">
        <v>400.7919032258065</v>
      </c>
      <c r="BK45">
        <v>18.29244193548387</v>
      </c>
      <c r="BL45">
        <v>799.859129032258</v>
      </c>
      <c r="BM45">
        <v>101.2105806451612</v>
      </c>
      <c r="BN45">
        <v>0.08008329032258063</v>
      </c>
      <c r="BO45">
        <v>26.10487096774194</v>
      </c>
      <c r="BP45">
        <v>25.31553225806452</v>
      </c>
      <c r="BQ45">
        <v>999.9000000000003</v>
      </c>
      <c r="BR45">
        <v>0</v>
      </c>
      <c r="BS45">
        <v>0</v>
      </c>
      <c r="BT45">
        <v>9998.975483870969</v>
      </c>
      <c r="BU45">
        <v>0</v>
      </c>
      <c r="BV45">
        <v>0.00152894</v>
      </c>
      <c r="BW45">
        <v>-3.032758064516129</v>
      </c>
      <c r="BX45">
        <v>409.5062580645162</v>
      </c>
      <c r="BY45">
        <v>412.5044516129033</v>
      </c>
      <c r="BZ45">
        <v>0.217805</v>
      </c>
      <c r="CA45">
        <v>404.9882580645161</v>
      </c>
      <c r="CB45">
        <v>18.2209064516129</v>
      </c>
      <c r="CC45">
        <v>1.866193870967742</v>
      </c>
      <c r="CD45">
        <v>1.84415</v>
      </c>
      <c r="CE45">
        <v>16.35253870967742</v>
      </c>
      <c r="CF45">
        <v>16.16611290322581</v>
      </c>
      <c r="CG45">
        <v>999.9750645161291</v>
      </c>
      <c r="CH45">
        <v>0.9599989354838712</v>
      </c>
      <c r="CI45">
        <v>0.04000095806451612</v>
      </c>
      <c r="CJ45">
        <v>0</v>
      </c>
      <c r="CK45">
        <v>1.953870967741935</v>
      </c>
      <c r="CL45">
        <v>0</v>
      </c>
      <c r="CM45">
        <v>5570.934516129033</v>
      </c>
      <c r="CN45">
        <v>7946.714838709679</v>
      </c>
      <c r="CO45">
        <v>35.74367741935482</v>
      </c>
      <c r="CP45">
        <v>39.09051612903226</v>
      </c>
      <c r="CQ45">
        <v>37.12077419354839</v>
      </c>
      <c r="CR45">
        <v>37.90096774193547</v>
      </c>
      <c r="CS45">
        <v>36.22348387096773</v>
      </c>
      <c r="CT45">
        <v>959.9751612903225</v>
      </c>
      <c r="CU45">
        <v>40</v>
      </c>
      <c r="CV45">
        <v>0</v>
      </c>
      <c r="CW45">
        <v>1750961182.1</v>
      </c>
      <c r="CX45">
        <v>0</v>
      </c>
      <c r="CY45">
        <v>1750961184.5</v>
      </c>
      <c r="CZ45" t="s">
        <v>444</v>
      </c>
      <c r="DA45">
        <v>1750961184.5</v>
      </c>
      <c r="DB45">
        <v>1750961182.5</v>
      </c>
      <c r="DC45">
        <v>29</v>
      </c>
      <c r="DD45">
        <v>-0.021</v>
      </c>
      <c r="DE45">
        <v>0.003</v>
      </c>
      <c r="DF45">
        <v>1.142</v>
      </c>
      <c r="DG45">
        <v>0.141</v>
      </c>
      <c r="DH45">
        <v>405</v>
      </c>
      <c r="DI45">
        <v>18</v>
      </c>
      <c r="DJ45">
        <v>0.25</v>
      </c>
      <c r="DK45">
        <v>0.25</v>
      </c>
      <c r="DL45">
        <v>-3.073316341463415</v>
      </c>
      <c r="DM45">
        <v>0.7345532404181123</v>
      </c>
      <c r="DN45">
        <v>0.07682079024225393</v>
      </c>
      <c r="DO45">
        <v>0</v>
      </c>
      <c r="DP45">
        <v>0.2263268536585366</v>
      </c>
      <c r="DQ45">
        <v>-0.144669177700348</v>
      </c>
      <c r="DR45">
        <v>0.01429384056424812</v>
      </c>
      <c r="DS45">
        <v>0</v>
      </c>
      <c r="DT45">
        <v>0</v>
      </c>
      <c r="DU45">
        <v>2</v>
      </c>
      <c r="DV45" t="s">
        <v>362</v>
      </c>
      <c r="DW45">
        <v>3.45016</v>
      </c>
      <c r="DX45">
        <v>2.76195</v>
      </c>
      <c r="DY45">
        <v>0.096724</v>
      </c>
      <c r="DZ45">
        <v>0.0974669</v>
      </c>
      <c r="EA45">
        <v>0.0985785</v>
      </c>
      <c r="EB45">
        <v>0.097382</v>
      </c>
      <c r="EC45">
        <v>27199.4</v>
      </c>
      <c r="ED45">
        <v>30946.5</v>
      </c>
      <c r="EE45">
        <v>29249.9</v>
      </c>
      <c r="EF45">
        <v>34878</v>
      </c>
      <c r="EG45">
        <v>30501</v>
      </c>
      <c r="EH45">
        <v>39078.6</v>
      </c>
      <c r="EI45">
        <v>36019.4</v>
      </c>
      <c r="EJ45">
        <v>46164.4</v>
      </c>
      <c r="EK45">
        <v>0.288125</v>
      </c>
      <c r="EL45">
        <v>2.2257</v>
      </c>
      <c r="EM45">
        <v>0.07022920000000001</v>
      </c>
      <c r="EN45">
        <v>0</v>
      </c>
      <c r="EO45">
        <v>24.2232</v>
      </c>
      <c r="EP45">
        <v>999.9</v>
      </c>
      <c r="EQ45">
        <v>63.5</v>
      </c>
      <c r="ER45">
        <v>26.9</v>
      </c>
      <c r="ES45">
        <v>22.3251</v>
      </c>
      <c r="ET45">
        <v>61.7448</v>
      </c>
      <c r="EU45">
        <v>24.7957</v>
      </c>
      <c r="EV45">
        <v>2</v>
      </c>
      <c r="EW45">
        <v>-0.236118</v>
      </c>
      <c r="EX45">
        <v>0</v>
      </c>
      <c r="EY45">
        <v>20.2968</v>
      </c>
      <c r="EZ45">
        <v>5.21519</v>
      </c>
      <c r="FA45">
        <v>11.968</v>
      </c>
      <c r="FB45">
        <v>4.9914</v>
      </c>
      <c r="FC45">
        <v>3.272</v>
      </c>
      <c r="FD45">
        <v>3178.3</v>
      </c>
      <c r="FE45">
        <v>9999</v>
      </c>
      <c r="FF45">
        <v>9999</v>
      </c>
      <c r="FG45">
        <v>999.9</v>
      </c>
      <c r="FH45">
        <v>4.97261</v>
      </c>
      <c r="FI45">
        <v>1.86278</v>
      </c>
      <c r="FJ45">
        <v>1.86455</v>
      </c>
      <c r="FK45">
        <v>1.86297</v>
      </c>
      <c r="FL45">
        <v>1.86301</v>
      </c>
      <c r="FM45">
        <v>1.86356</v>
      </c>
      <c r="FN45">
        <v>1.86005</v>
      </c>
      <c r="FO45">
        <v>1.86287</v>
      </c>
      <c r="FP45">
        <v>0</v>
      </c>
      <c r="FQ45">
        <v>0</v>
      </c>
      <c r="FR45">
        <v>0</v>
      </c>
      <c r="FS45">
        <v>0</v>
      </c>
      <c r="FT45" t="s">
        <v>356</v>
      </c>
      <c r="FU45" t="s">
        <v>357</v>
      </c>
      <c r="FV45" t="s">
        <v>358</v>
      </c>
      <c r="FW45" t="s">
        <v>358</v>
      </c>
      <c r="FX45" t="s">
        <v>358</v>
      </c>
      <c r="FY45" t="s">
        <v>358</v>
      </c>
      <c r="FZ45">
        <v>0</v>
      </c>
      <c r="GA45">
        <v>100</v>
      </c>
      <c r="GB45">
        <v>100</v>
      </c>
      <c r="GC45">
        <v>1.142</v>
      </c>
      <c r="GD45">
        <v>0.141</v>
      </c>
      <c r="GE45">
        <v>1.445857706398809</v>
      </c>
      <c r="GF45">
        <v>-0.001033730503750798</v>
      </c>
      <c r="GG45">
        <v>9.120241388950126E-07</v>
      </c>
      <c r="GH45">
        <v>-2.246115299815222E-10</v>
      </c>
      <c r="GI45">
        <v>-0.1049118596230378</v>
      </c>
      <c r="GJ45">
        <v>-0.01814858093373864</v>
      </c>
      <c r="GK45">
        <v>0.002091959988359369</v>
      </c>
      <c r="GL45">
        <v>-1.90871700788604E-05</v>
      </c>
      <c r="GM45">
        <v>2</v>
      </c>
      <c r="GN45">
        <v>2210</v>
      </c>
      <c r="GO45">
        <v>1</v>
      </c>
      <c r="GP45">
        <v>26</v>
      </c>
      <c r="GQ45">
        <v>2.2</v>
      </c>
      <c r="GR45">
        <v>2.2</v>
      </c>
      <c r="GS45">
        <v>1.26953</v>
      </c>
      <c r="GT45">
        <v>2.37427</v>
      </c>
      <c r="GU45">
        <v>2.34741</v>
      </c>
      <c r="GV45">
        <v>2.71362</v>
      </c>
      <c r="GW45">
        <v>2.39868</v>
      </c>
      <c r="GX45">
        <v>2.28149</v>
      </c>
      <c r="GY45">
        <v>31.7611</v>
      </c>
      <c r="GZ45">
        <v>15.7694</v>
      </c>
      <c r="HA45">
        <v>18</v>
      </c>
      <c r="HB45">
        <v>-1.94559</v>
      </c>
      <c r="HC45">
        <v>646.158</v>
      </c>
      <c r="HD45">
        <v>25.6866</v>
      </c>
      <c r="HE45">
        <v>24.5816</v>
      </c>
      <c r="HF45">
        <v>29.9997</v>
      </c>
      <c r="HG45">
        <v>24.6082</v>
      </c>
      <c r="HH45">
        <v>24.4018</v>
      </c>
      <c r="HI45">
        <v>25.4693</v>
      </c>
      <c r="HJ45">
        <v>25.404</v>
      </c>
      <c r="HK45">
        <v>84.29810000000001</v>
      </c>
      <c r="HL45">
        <v>-999.9</v>
      </c>
      <c r="HM45">
        <v>405</v>
      </c>
      <c r="HN45">
        <v>18.2769</v>
      </c>
      <c r="HO45">
        <v>100.447</v>
      </c>
      <c r="HP45">
        <v>100.804</v>
      </c>
    </row>
    <row r="46" spans="1:224">
      <c r="A46">
        <v>30</v>
      </c>
      <c r="B46">
        <v>1750961304.5</v>
      </c>
      <c r="C46">
        <v>4033.5</v>
      </c>
      <c r="D46" t="s">
        <v>445</v>
      </c>
      <c r="E46" t="s">
        <v>446</v>
      </c>
      <c r="F46">
        <v>15</v>
      </c>
      <c r="G46">
        <v>1750961296.5</v>
      </c>
      <c r="H46">
        <f>(I46)/1000</f>
        <v>0</v>
      </c>
      <c r="I46">
        <f>IF(BD46, AL46, AF46)</f>
        <v>0</v>
      </c>
      <c r="J46">
        <f>IF(BD46, AG46, AE46)</f>
        <v>0</v>
      </c>
      <c r="K46">
        <f>BF46 - IF(AS46&gt;1, J46*AZ46*100.0/(AU46), 0)</f>
        <v>0</v>
      </c>
      <c r="L46">
        <f>((R46-H46/2)*K46-J46)/(R46+H46/2)</f>
        <v>0</v>
      </c>
      <c r="M46">
        <f>L46*(BM46+BN46)/1000.0</f>
        <v>0</v>
      </c>
      <c r="N46">
        <f>(BF46 - IF(AS46&gt;1, J46*AZ46*100.0/(AU46), 0))*(BM46+BN46)/1000.0</f>
        <v>0</v>
      </c>
      <c r="O46">
        <f>2.0/((1/Q46-1/P46)+SIGN(Q46)*SQRT((1/Q46-1/P46)*(1/Q46-1/P46) + 4*BA46/((BA46+1)*(BA46+1))*(2*1/Q46*1/P46-1/P46*1/P46)))</f>
        <v>0</v>
      </c>
      <c r="P46">
        <f>IF(LEFT(BB46,1)&lt;&gt;"0",IF(LEFT(BB46,1)="1",3.0,BC46),$D$5+$E$5*(BT46*BM46/($K$5*1000))+$F$5*(BT46*BM46/($K$5*1000))*MAX(MIN(AZ46,$J$5),$I$5)*MAX(MIN(AZ46,$J$5),$I$5)+$G$5*MAX(MIN(AZ46,$J$5),$I$5)*(BT46*BM46/($K$5*1000))+$H$5*(BT46*BM46/($K$5*1000))*(BT46*BM46/($K$5*1000)))</f>
        <v>0</v>
      </c>
      <c r="Q46">
        <f>H46*(1000-(1000*0.61365*exp(17.502*U46/(240.97+U46))/(BM46+BN46)+BH46)/2)/(1000*0.61365*exp(17.502*U46/(240.97+U46))/(BM46+BN46)-BH46)</f>
        <v>0</v>
      </c>
      <c r="R46">
        <f>1/((BA46+1)/(O46/1.6)+1/(P46/1.37)) + BA46/((BA46+1)/(O46/1.6) + BA46/(P46/1.37))</f>
        <v>0</v>
      </c>
      <c r="S46">
        <f>(AV46*AY46)</f>
        <v>0</v>
      </c>
      <c r="T46">
        <f>(BO46+(S46+2*0.95*5.67E-8*(((BO46+$B$7)+273)^4-(BO46+273)^4)-44100*H46)/(1.84*29.3*P46+8*0.95*5.67E-8*(BO46+273)^3))</f>
        <v>0</v>
      </c>
      <c r="U46">
        <f>($C$7*BP46+$D$7*BQ46+$E$7*T46)</f>
        <v>0</v>
      </c>
      <c r="V46">
        <f>0.61365*exp(17.502*U46/(240.97+U46))</f>
        <v>0</v>
      </c>
      <c r="W46">
        <f>(X46/Y46*100)</f>
        <v>0</v>
      </c>
      <c r="X46">
        <f>BH46*(BM46+BN46)/1000</f>
        <v>0</v>
      </c>
      <c r="Y46">
        <f>0.61365*exp(17.502*BO46/(240.97+BO46))</f>
        <v>0</v>
      </c>
      <c r="Z46">
        <f>(V46-BH46*(BM46+BN46)/1000)</f>
        <v>0</v>
      </c>
      <c r="AA46">
        <f>(-H46*44100)</f>
        <v>0</v>
      </c>
      <c r="AB46">
        <f>2*29.3*P46*0.92*(BO46-U46)</f>
        <v>0</v>
      </c>
      <c r="AC46">
        <f>2*0.95*5.67E-8*(((BO46+$B$7)+273)^4-(U46+273)^4)</f>
        <v>0</v>
      </c>
      <c r="AD46">
        <f>S46+AC46+AA46+AB46</f>
        <v>0</v>
      </c>
      <c r="AE46">
        <f>BL46*AS46*(BG46-BF46*(1000-AS46*BI46)/(1000-AS46*BH46))/(100*AZ46)</f>
        <v>0</v>
      </c>
      <c r="AF46">
        <f>1000*BL46*AS46*(BH46-BI46)/(100*AZ46*(1000-AS46*BH46))</f>
        <v>0</v>
      </c>
      <c r="AG46">
        <f>(AH46 - AI46 - BM46*1E3/(8.314*(BO46+273.15)) * AK46/BL46 * AJ46) * BL46/(100*AZ46) * (1000 - BI46)/1000</f>
        <v>0</v>
      </c>
      <c r="AH46">
        <v>411.4634164525642</v>
      </c>
      <c r="AI46">
        <v>403.7895090909091</v>
      </c>
      <c r="AJ46">
        <v>0.0006167601285581605</v>
      </c>
      <c r="AK46">
        <v>66.95069523464511</v>
      </c>
      <c r="AL46">
        <f>(AN46 - AM46 + BM46*1E3/(8.314*(BO46+273.15)) * AP46/BL46 * AO46) * BL46/(100*AZ46) * 1000/(1000 - AN46)</f>
        <v>0</v>
      </c>
      <c r="AM46">
        <v>15.77701969863677</v>
      </c>
      <c r="AN46">
        <v>18.54917939393939</v>
      </c>
      <c r="AO46">
        <v>5.371975785346144E-05</v>
      </c>
      <c r="AP46">
        <v>79.3289895324523</v>
      </c>
      <c r="AQ46">
        <v>312</v>
      </c>
      <c r="AR46">
        <v>39</v>
      </c>
      <c r="AS46">
        <f>IF(AQ46*$H$13&gt;=AU46,1.0,(AU46/(AU46-AQ46*$H$13)))</f>
        <v>0</v>
      </c>
      <c r="AT46">
        <f>(AS46-1)*100</f>
        <v>0</v>
      </c>
      <c r="AU46">
        <f>MAX(0,($B$13+$C$13*BT46)/(1+$D$13*BT46)*BM46/(BO46+273)*$E$13)</f>
        <v>0</v>
      </c>
      <c r="AV46">
        <f>$B$11*BU46+$C$11*BV46+$F$11*CG46*(1-CJ46)</f>
        <v>0</v>
      </c>
      <c r="AW46">
        <f>AV46*AX46</f>
        <v>0</v>
      </c>
      <c r="AX46">
        <f>($B$11*$D$9+$C$11*$D$9+$F$11*((CT46+CL46)/MAX(CT46+CL46+CU46, 0.1)*$I$9+CU46/MAX(CT46+CL46+CU46, 0.1)*$J$9))/($B$11+$C$11+$F$11)</f>
        <v>0</v>
      </c>
      <c r="AY46">
        <f>($B$11*$K$9+$C$11*$K$9+$F$11*((CT46+CL46)/MAX(CT46+CL46+CU46, 0.1)*$P$9+CU46/MAX(CT46+CL46+CU46, 0.1)*$Q$9))/($B$11+$C$11+$F$11)</f>
        <v>0</v>
      </c>
      <c r="AZ46">
        <v>6</v>
      </c>
      <c r="BA46">
        <v>0.5</v>
      </c>
      <c r="BB46" t="s">
        <v>353</v>
      </c>
      <c r="BC46">
        <v>2</v>
      </c>
      <c r="BD46" t="b">
        <v>0</v>
      </c>
      <c r="BE46">
        <v>1750961296.5</v>
      </c>
      <c r="BF46">
        <v>396.4005806451614</v>
      </c>
      <c r="BG46">
        <v>405.0002903225806</v>
      </c>
      <c r="BH46">
        <v>18.54354193548387</v>
      </c>
      <c r="BI46">
        <v>15.78255483870968</v>
      </c>
      <c r="BJ46">
        <v>395.1535806451614</v>
      </c>
      <c r="BK46">
        <v>18.39037096774193</v>
      </c>
      <c r="BL46">
        <v>799.9992903225805</v>
      </c>
      <c r="BM46">
        <v>101.2034516129032</v>
      </c>
      <c r="BN46">
        <v>0.100025935483871</v>
      </c>
      <c r="BO46">
        <v>26.27833870967742</v>
      </c>
      <c r="BP46">
        <v>25.29669354838709</v>
      </c>
      <c r="BQ46">
        <v>999.9000000000003</v>
      </c>
      <c r="BR46">
        <v>0</v>
      </c>
      <c r="BS46">
        <v>0</v>
      </c>
      <c r="BT46">
        <v>10003.18129032258</v>
      </c>
      <c r="BU46">
        <v>0</v>
      </c>
      <c r="BV46">
        <v>0.0015536</v>
      </c>
      <c r="BW46">
        <v>-8.701327096774193</v>
      </c>
      <c r="BX46">
        <v>403.7865483870968</v>
      </c>
      <c r="BY46">
        <v>411.4947096774194</v>
      </c>
      <c r="BZ46">
        <v>2.76098</v>
      </c>
      <c r="CA46">
        <v>405.0002903225806</v>
      </c>
      <c r="CB46">
        <v>15.78255483870968</v>
      </c>
      <c r="CC46">
        <v>1.876667419354839</v>
      </c>
      <c r="CD46">
        <v>1.597248387096774</v>
      </c>
      <c r="CE46">
        <v>16.44045483870967</v>
      </c>
      <c r="CF46">
        <v>13.93227741935484</v>
      </c>
      <c r="CG46">
        <v>999.9804516129034</v>
      </c>
      <c r="CH46">
        <v>0.9600066451612904</v>
      </c>
      <c r="CI46">
        <v>0.0399935193548387</v>
      </c>
      <c r="CJ46">
        <v>0</v>
      </c>
      <c r="CK46">
        <v>1.644193548387096</v>
      </c>
      <c r="CL46">
        <v>0</v>
      </c>
      <c r="CM46">
        <v>10875.11612903226</v>
      </c>
      <c r="CN46">
        <v>7946.784838709677</v>
      </c>
      <c r="CO46">
        <v>37.30629032258064</v>
      </c>
      <c r="CP46">
        <v>41.40303225806451</v>
      </c>
      <c r="CQ46">
        <v>38.76990322580645</v>
      </c>
      <c r="CR46">
        <v>40.70741935483869</v>
      </c>
      <c r="CS46">
        <v>37.75167741935483</v>
      </c>
      <c r="CT46">
        <v>959.9883870967742</v>
      </c>
      <c r="CU46">
        <v>39.99096774193548</v>
      </c>
      <c r="CV46">
        <v>0</v>
      </c>
      <c r="CW46">
        <v>1750961321.9</v>
      </c>
      <c r="CX46">
        <v>0</v>
      </c>
      <c r="CY46">
        <v>1750961323.5</v>
      </c>
      <c r="CZ46" t="s">
        <v>447</v>
      </c>
      <c r="DA46">
        <v>1750961323.5</v>
      </c>
      <c r="DB46">
        <v>1750961182.5</v>
      </c>
      <c r="DC46">
        <v>30</v>
      </c>
      <c r="DD46">
        <v>0.106</v>
      </c>
      <c r="DE46">
        <v>0.003</v>
      </c>
      <c r="DF46">
        <v>1.247</v>
      </c>
      <c r="DG46">
        <v>0.141</v>
      </c>
      <c r="DH46">
        <v>405</v>
      </c>
      <c r="DI46">
        <v>18</v>
      </c>
      <c r="DJ46">
        <v>0.17</v>
      </c>
      <c r="DK46">
        <v>0.25</v>
      </c>
      <c r="DL46">
        <v>-8.68290575</v>
      </c>
      <c r="DM46">
        <v>-0.2485158348968044</v>
      </c>
      <c r="DN46">
        <v>0.04061836585139166</v>
      </c>
      <c r="DO46">
        <v>0</v>
      </c>
      <c r="DP46">
        <v>2.75837075</v>
      </c>
      <c r="DQ46">
        <v>0.07687170731707303</v>
      </c>
      <c r="DR46">
        <v>0.01166428553052007</v>
      </c>
      <c r="DS46">
        <v>1</v>
      </c>
      <c r="DT46">
        <v>1</v>
      </c>
      <c r="DU46">
        <v>2</v>
      </c>
      <c r="DV46" t="s">
        <v>355</v>
      </c>
      <c r="DW46">
        <v>3.44903</v>
      </c>
      <c r="DX46">
        <v>2.78083</v>
      </c>
      <c r="DY46">
        <v>0.0957228</v>
      </c>
      <c r="DZ46">
        <v>0.097459</v>
      </c>
      <c r="EA46">
        <v>0.09912559999999999</v>
      </c>
      <c r="EB46">
        <v>0.0879142</v>
      </c>
      <c r="EC46">
        <v>27235.4</v>
      </c>
      <c r="ED46">
        <v>30954</v>
      </c>
      <c r="EE46">
        <v>29255.8</v>
      </c>
      <c r="EF46">
        <v>34885.8</v>
      </c>
      <c r="EG46">
        <v>30488.9</v>
      </c>
      <c r="EH46">
        <v>39499.6</v>
      </c>
      <c r="EI46">
        <v>36027.8</v>
      </c>
      <c r="EJ46">
        <v>46176.8</v>
      </c>
      <c r="EK46">
        <v>1.98765</v>
      </c>
      <c r="EL46">
        <v>2.2217</v>
      </c>
      <c r="EM46">
        <v>0.0680909</v>
      </c>
      <c r="EN46">
        <v>0</v>
      </c>
      <c r="EO46">
        <v>24.2283</v>
      </c>
      <c r="EP46">
        <v>999.9</v>
      </c>
      <c r="EQ46">
        <v>63.6</v>
      </c>
      <c r="ER46">
        <v>26.9</v>
      </c>
      <c r="ES46">
        <v>22.3603</v>
      </c>
      <c r="ET46">
        <v>61.7848</v>
      </c>
      <c r="EU46">
        <v>26.0256</v>
      </c>
      <c r="EV46">
        <v>2</v>
      </c>
      <c r="EW46">
        <v>-0.245086</v>
      </c>
      <c r="EX46">
        <v>0</v>
      </c>
      <c r="EY46">
        <v>20.2963</v>
      </c>
      <c r="EZ46">
        <v>5.21175</v>
      </c>
      <c r="FA46">
        <v>11.968</v>
      </c>
      <c r="FB46">
        <v>4.9908</v>
      </c>
      <c r="FC46">
        <v>3.27163</v>
      </c>
      <c r="FD46">
        <v>3182.4</v>
      </c>
      <c r="FE46">
        <v>9999</v>
      </c>
      <c r="FF46">
        <v>9999</v>
      </c>
      <c r="FG46">
        <v>999.9</v>
      </c>
      <c r="FH46">
        <v>4.97263</v>
      </c>
      <c r="FI46">
        <v>1.86276</v>
      </c>
      <c r="FJ46">
        <v>1.86455</v>
      </c>
      <c r="FK46">
        <v>1.86298</v>
      </c>
      <c r="FL46">
        <v>1.86298</v>
      </c>
      <c r="FM46">
        <v>1.86356</v>
      </c>
      <c r="FN46">
        <v>1.86005</v>
      </c>
      <c r="FO46">
        <v>1.8629</v>
      </c>
      <c r="FP46">
        <v>0</v>
      </c>
      <c r="FQ46">
        <v>0</v>
      </c>
      <c r="FR46">
        <v>0</v>
      </c>
      <c r="FS46">
        <v>0</v>
      </c>
      <c r="FT46" t="s">
        <v>356</v>
      </c>
      <c r="FU46" t="s">
        <v>357</v>
      </c>
      <c r="FV46" t="s">
        <v>358</v>
      </c>
      <c r="FW46" t="s">
        <v>358</v>
      </c>
      <c r="FX46" t="s">
        <v>358</v>
      </c>
      <c r="FY46" t="s">
        <v>358</v>
      </c>
      <c r="FZ46">
        <v>0</v>
      </c>
      <c r="GA46">
        <v>100</v>
      </c>
      <c r="GB46">
        <v>100</v>
      </c>
      <c r="GC46">
        <v>1.247</v>
      </c>
      <c r="GD46">
        <v>0.1534</v>
      </c>
      <c r="GE46">
        <v>1.425286806474579</v>
      </c>
      <c r="GF46">
        <v>-0.001033730503750798</v>
      </c>
      <c r="GG46">
        <v>9.120241388950126E-07</v>
      </c>
      <c r="GH46">
        <v>-2.246115299815222E-10</v>
      </c>
      <c r="GI46">
        <v>-0.1018554710345976</v>
      </c>
      <c r="GJ46">
        <v>-0.01814858093373864</v>
      </c>
      <c r="GK46">
        <v>0.002091959988359369</v>
      </c>
      <c r="GL46">
        <v>-1.90871700788604E-05</v>
      </c>
      <c r="GM46">
        <v>2</v>
      </c>
      <c r="GN46">
        <v>2210</v>
      </c>
      <c r="GO46">
        <v>1</v>
      </c>
      <c r="GP46">
        <v>26</v>
      </c>
      <c r="GQ46">
        <v>2</v>
      </c>
      <c r="GR46">
        <v>2</v>
      </c>
      <c r="GS46">
        <v>1.26831</v>
      </c>
      <c r="GT46">
        <v>2.37915</v>
      </c>
      <c r="GU46">
        <v>2.34863</v>
      </c>
      <c r="GV46">
        <v>2.71851</v>
      </c>
      <c r="GW46">
        <v>2.39868</v>
      </c>
      <c r="GX46">
        <v>2.28271</v>
      </c>
      <c r="GY46">
        <v>31.6298</v>
      </c>
      <c r="GZ46">
        <v>15.7431</v>
      </c>
      <c r="HA46">
        <v>18</v>
      </c>
      <c r="HB46">
        <v>452.686</v>
      </c>
      <c r="HC46">
        <v>641.712</v>
      </c>
      <c r="HD46">
        <v>25.6288</v>
      </c>
      <c r="HE46">
        <v>24.4594</v>
      </c>
      <c r="HF46">
        <v>30</v>
      </c>
      <c r="HG46">
        <v>24.3475</v>
      </c>
      <c r="HH46">
        <v>24.2993</v>
      </c>
      <c r="HI46">
        <v>25.4326</v>
      </c>
      <c r="HJ46">
        <v>34.4302</v>
      </c>
      <c r="HK46">
        <v>82.574</v>
      </c>
      <c r="HL46">
        <v>-999.9</v>
      </c>
      <c r="HM46">
        <v>405</v>
      </c>
      <c r="HN46">
        <v>15.8974</v>
      </c>
      <c r="HO46">
        <v>100.469</v>
      </c>
      <c r="HP46">
        <v>100.829</v>
      </c>
    </row>
    <row r="47" spans="1:224">
      <c r="A47">
        <v>31</v>
      </c>
      <c r="B47">
        <v>1750961427.5</v>
      </c>
      <c r="C47">
        <v>4156.5</v>
      </c>
      <c r="D47" t="s">
        <v>448</v>
      </c>
      <c r="E47" t="s">
        <v>449</v>
      </c>
      <c r="F47">
        <v>15</v>
      </c>
      <c r="G47">
        <v>1750961419.5</v>
      </c>
      <c r="H47">
        <f>(I47)/1000</f>
        <v>0</v>
      </c>
      <c r="I47">
        <f>IF(BD47, AL47, AF47)</f>
        <v>0</v>
      </c>
      <c r="J47">
        <f>IF(BD47, AG47, AE47)</f>
        <v>0</v>
      </c>
      <c r="K47">
        <f>BF47 - IF(AS47&gt;1, J47*AZ47*100.0/(AU47), 0)</f>
        <v>0</v>
      </c>
      <c r="L47">
        <f>((R47-H47/2)*K47-J47)/(R47+H47/2)</f>
        <v>0</v>
      </c>
      <c r="M47">
        <f>L47*(BM47+BN47)/1000.0</f>
        <v>0</v>
      </c>
      <c r="N47">
        <f>(BF47 - IF(AS47&gt;1, J47*AZ47*100.0/(AU47), 0))*(BM47+BN47)/1000.0</f>
        <v>0</v>
      </c>
      <c r="O47">
        <f>2.0/((1/Q47-1/P47)+SIGN(Q47)*SQRT((1/Q47-1/P47)*(1/Q47-1/P47) + 4*BA47/((BA47+1)*(BA47+1))*(2*1/Q47*1/P47-1/P47*1/P47)))</f>
        <v>0</v>
      </c>
      <c r="P47">
        <f>IF(LEFT(BB47,1)&lt;&gt;"0",IF(LEFT(BB47,1)="1",3.0,BC47),$D$5+$E$5*(BT47*BM47/($K$5*1000))+$F$5*(BT47*BM47/($K$5*1000))*MAX(MIN(AZ47,$J$5),$I$5)*MAX(MIN(AZ47,$J$5),$I$5)+$G$5*MAX(MIN(AZ47,$J$5),$I$5)*(BT47*BM47/($K$5*1000))+$H$5*(BT47*BM47/($K$5*1000))*(BT47*BM47/($K$5*1000)))</f>
        <v>0</v>
      </c>
      <c r="Q47">
        <f>H47*(1000-(1000*0.61365*exp(17.502*U47/(240.97+U47))/(BM47+BN47)+BH47)/2)/(1000*0.61365*exp(17.502*U47/(240.97+U47))/(BM47+BN47)-BH47)</f>
        <v>0</v>
      </c>
      <c r="R47">
        <f>1/((BA47+1)/(O47/1.6)+1/(P47/1.37)) + BA47/((BA47+1)/(O47/1.6) + BA47/(P47/1.37))</f>
        <v>0</v>
      </c>
      <c r="S47">
        <f>(AV47*AY47)</f>
        <v>0</v>
      </c>
      <c r="T47">
        <f>(BO47+(S47+2*0.95*5.67E-8*(((BO47+$B$7)+273)^4-(BO47+273)^4)-44100*H47)/(1.84*29.3*P47+8*0.95*5.67E-8*(BO47+273)^3))</f>
        <v>0</v>
      </c>
      <c r="U47">
        <f>($C$7*BP47+$D$7*BQ47+$E$7*T47)</f>
        <v>0</v>
      </c>
      <c r="V47">
        <f>0.61365*exp(17.502*U47/(240.97+U47))</f>
        <v>0</v>
      </c>
      <c r="W47">
        <f>(X47/Y47*100)</f>
        <v>0</v>
      </c>
      <c r="X47">
        <f>BH47*(BM47+BN47)/1000</f>
        <v>0</v>
      </c>
      <c r="Y47">
        <f>0.61365*exp(17.502*BO47/(240.97+BO47))</f>
        <v>0</v>
      </c>
      <c r="Z47">
        <f>(V47-BH47*(BM47+BN47)/1000)</f>
        <v>0</v>
      </c>
      <c r="AA47">
        <f>(-H47*44100)</f>
        <v>0</v>
      </c>
      <c r="AB47">
        <f>2*29.3*P47*0.92*(BO47-U47)</f>
        <v>0</v>
      </c>
      <c r="AC47">
        <f>2*0.95*5.67E-8*(((BO47+$B$7)+273)^4-(U47+273)^4)</f>
        <v>0</v>
      </c>
      <c r="AD47">
        <f>S47+AC47+AA47+AB47</f>
        <v>0</v>
      </c>
      <c r="AE47">
        <f>BL47*AS47*(BG47-BF47*(1000-AS47*BI47)/(1000-AS47*BH47))/(100*AZ47)</f>
        <v>0</v>
      </c>
      <c r="AF47">
        <f>1000*BL47*AS47*(BH47-BI47)/(100*AZ47*(1000-AS47*BH47))</f>
        <v>0</v>
      </c>
      <c r="AG47">
        <f>(AH47 - AI47 - BM47*1E3/(8.314*(BO47+273.15)) * AK47/BL47 * AJ47) * BL47/(100*AZ47) * (1000 - BI47)/1000</f>
        <v>0</v>
      </c>
      <c r="AH47">
        <v>412.5120891426145</v>
      </c>
      <c r="AI47">
        <v>409.9270606060605</v>
      </c>
      <c r="AJ47">
        <v>0.001739606029424602</v>
      </c>
      <c r="AK47">
        <v>66.94881721122889</v>
      </c>
      <c r="AL47">
        <f>(AN47 - AM47 + BM47*1E3/(8.314*(BO47+273.15)) * AP47/BL47 * AO47) * BL47/(100*AZ47) * 1000/(1000 - AN47)</f>
        <v>0</v>
      </c>
      <c r="AM47">
        <v>18.20283832268177</v>
      </c>
      <c r="AN47">
        <v>18.69164060606061</v>
      </c>
      <c r="AO47">
        <v>0.0001419177545206291</v>
      </c>
      <c r="AP47">
        <v>79.36401775985884</v>
      </c>
      <c r="AQ47">
        <v>62</v>
      </c>
      <c r="AR47">
        <v>8</v>
      </c>
      <c r="AS47">
        <f>IF(AQ47*$H$13&gt;=AU47,1.0,(AU47/(AU47-AQ47*$H$13)))</f>
        <v>0</v>
      </c>
      <c r="AT47">
        <f>(AS47-1)*100</f>
        <v>0</v>
      </c>
      <c r="AU47">
        <f>MAX(0,($B$13+$C$13*BT47)/(1+$D$13*BT47)*BM47/(BO47+273)*$E$13)</f>
        <v>0</v>
      </c>
      <c r="AV47">
        <f>$B$11*BU47+$C$11*BV47+$F$11*CG47*(1-CJ47)</f>
        <v>0</v>
      </c>
      <c r="AW47">
        <f>AV47*AX47</f>
        <v>0</v>
      </c>
      <c r="AX47">
        <f>($B$11*$D$9+$C$11*$D$9+$F$11*((CT47+CL47)/MAX(CT47+CL47+CU47, 0.1)*$I$9+CU47/MAX(CT47+CL47+CU47, 0.1)*$J$9))/($B$11+$C$11+$F$11)</f>
        <v>0</v>
      </c>
      <c r="AY47">
        <f>($B$11*$K$9+$C$11*$K$9+$F$11*((CT47+CL47)/MAX(CT47+CL47+CU47, 0.1)*$P$9+CU47/MAX(CT47+CL47+CU47, 0.1)*$Q$9))/($B$11+$C$11+$F$11)</f>
        <v>0</v>
      </c>
      <c r="AZ47">
        <v>6</v>
      </c>
      <c r="BA47">
        <v>0.5</v>
      </c>
      <c r="BB47" t="s">
        <v>353</v>
      </c>
      <c r="BC47">
        <v>2</v>
      </c>
      <c r="BD47" t="b">
        <v>0</v>
      </c>
      <c r="BE47">
        <v>1750961419.5</v>
      </c>
      <c r="BF47">
        <v>402.1945161290323</v>
      </c>
      <c r="BG47">
        <v>404.9862258064516</v>
      </c>
      <c r="BH47">
        <v>18.66688064516129</v>
      </c>
      <c r="BI47">
        <v>18.19526129032258</v>
      </c>
      <c r="BJ47">
        <v>401.0005161290322</v>
      </c>
      <c r="BK47">
        <v>18.52288064516129</v>
      </c>
      <c r="BL47">
        <v>800.0033870967742</v>
      </c>
      <c r="BM47">
        <v>101.205</v>
      </c>
      <c r="BN47">
        <v>0.09989518709677418</v>
      </c>
      <c r="BO47">
        <v>26.39234838709677</v>
      </c>
      <c r="BP47">
        <v>26.30658064516129</v>
      </c>
      <c r="BQ47">
        <v>999.9000000000003</v>
      </c>
      <c r="BR47">
        <v>0</v>
      </c>
      <c r="BS47">
        <v>0</v>
      </c>
      <c r="BT47">
        <v>10003.03032258065</v>
      </c>
      <c r="BU47">
        <v>0</v>
      </c>
      <c r="BV47">
        <v>0.00152894</v>
      </c>
      <c r="BW47">
        <v>-2.737136774193548</v>
      </c>
      <c r="BX47">
        <v>409.9067096774194</v>
      </c>
      <c r="BY47">
        <v>412.4916129032258</v>
      </c>
      <c r="BZ47">
        <v>0.4860443870967742</v>
      </c>
      <c r="CA47">
        <v>404.9862258064516</v>
      </c>
      <c r="CB47">
        <v>18.19526129032258</v>
      </c>
      <c r="CC47">
        <v>1.89063935483871</v>
      </c>
      <c r="CD47">
        <v>1.841449677419355</v>
      </c>
      <c r="CE47">
        <v>16.55703870967742</v>
      </c>
      <c r="CF47">
        <v>16.14315483870968</v>
      </c>
      <c r="CG47">
        <v>1000.017580645161</v>
      </c>
      <c r="CH47">
        <v>0.959997451612903</v>
      </c>
      <c r="CI47">
        <v>0.04000268064516128</v>
      </c>
      <c r="CJ47">
        <v>0</v>
      </c>
      <c r="CK47">
        <v>2.129838709677419</v>
      </c>
      <c r="CL47">
        <v>0</v>
      </c>
      <c r="CM47">
        <v>5329.245161290321</v>
      </c>
      <c r="CN47">
        <v>7947.040645161292</v>
      </c>
      <c r="CO47">
        <v>36.87477419354838</v>
      </c>
      <c r="CP47">
        <v>39.73967741935483</v>
      </c>
      <c r="CQ47">
        <v>38.17716129032257</v>
      </c>
      <c r="CR47">
        <v>39.14693548387095</v>
      </c>
      <c r="CS47">
        <v>37.24970967741935</v>
      </c>
      <c r="CT47">
        <v>960.0141935483872</v>
      </c>
      <c r="CU47">
        <v>40.00387096774193</v>
      </c>
      <c r="CV47">
        <v>0</v>
      </c>
      <c r="CW47">
        <v>1750961444.9</v>
      </c>
      <c r="CX47">
        <v>0</v>
      </c>
      <c r="CY47">
        <v>1750961447</v>
      </c>
      <c r="CZ47" t="s">
        <v>450</v>
      </c>
      <c r="DA47">
        <v>1750961444.5</v>
      </c>
      <c r="DB47">
        <v>1750961447</v>
      </c>
      <c r="DC47">
        <v>31</v>
      </c>
      <c r="DD47">
        <v>-0.054</v>
      </c>
      <c r="DE47">
        <v>0.004</v>
      </c>
      <c r="DF47">
        <v>1.194</v>
      </c>
      <c r="DG47">
        <v>0.144</v>
      </c>
      <c r="DH47">
        <v>405</v>
      </c>
      <c r="DI47">
        <v>18</v>
      </c>
      <c r="DJ47">
        <v>0.38</v>
      </c>
      <c r="DK47">
        <v>0.16</v>
      </c>
      <c r="DL47">
        <v>-2.747903902439024</v>
      </c>
      <c r="DM47">
        <v>0.005316167247386266</v>
      </c>
      <c r="DN47">
        <v>0.03891356700388815</v>
      </c>
      <c r="DO47">
        <v>1</v>
      </c>
      <c r="DP47">
        <v>0.4793436097560976</v>
      </c>
      <c r="DQ47">
        <v>0.09688471777003442</v>
      </c>
      <c r="DR47">
        <v>0.01438793724580328</v>
      </c>
      <c r="DS47">
        <v>1</v>
      </c>
      <c r="DT47">
        <v>2</v>
      </c>
      <c r="DU47">
        <v>2</v>
      </c>
      <c r="DV47" t="s">
        <v>429</v>
      </c>
      <c r="DW47">
        <v>3.45013</v>
      </c>
      <c r="DX47">
        <v>2.78107</v>
      </c>
      <c r="DY47">
        <v>0.0968164</v>
      </c>
      <c r="DZ47">
        <v>0.0974887</v>
      </c>
      <c r="EA47">
        <v>0.0996638</v>
      </c>
      <c r="EB47">
        <v>0.09735389999999999</v>
      </c>
      <c r="EC47">
        <v>27200</v>
      </c>
      <c r="ED47">
        <v>30949.4</v>
      </c>
      <c r="EE47">
        <v>29253.2</v>
      </c>
      <c r="EF47">
        <v>34881.6</v>
      </c>
      <c r="EG47">
        <v>30467.7</v>
      </c>
      <c r="EH47">
        <v>39085.2</v>
      </c>
      <c r="EI47">
        <v>36024.5</v>
      </c>
      <c r="EJ47">
        <v>46170.9</v>
      </c>
      <c r="EK47">
        <v>2.42158</v>
      </c>
      <c r="EL47">
        <v>2.22675</v>
      </c>
      <c r="EM47">
        <v>0.1017</v>
      </c>
      <c r="EN47">
        <v>0</v>
      </c>
      <c r="EO47">
        <v>24.6438</v>
      </c>
      <c r="EP47">
        <v>999.9</v>
      </c>
      <c r="EQ47">
        <v>63.7</v>
      </c>
      <c r="ER47">
        <v>26.9</v>
      </c>
      <c r="ES47">
        <v>22.396</v>
      </c>
      <c r="ET47">
        <v>61.7848</v>
      </c>
      <c r="EU47">
        <v>25.7532</v>
      </c>
      <c r="EV47">
        <v>2</v>
      </c>
      <c r="EW47">
        <v>-0.243333</v>
      </c>
      <c r="EX47">
        <v>0</v>
      </c>
      <c r="EY47">
        <v>20.2945</v>
      </c>
      <c r="EZ47">
        <v>5.2113</v>
      </c>
      <c r="FA47">
        <v>11.968</v>
      </c>
      <c r="FB47">
        <v>4.9909</v>
      </c>
      <c r="FC47">
        <v>3.27192</v>
      </c>
      <c r="FD47">
        <v>3186.3</v>
      </c>
      <c r="FE47">
        <v>9999</v>
      </c>
      <c r="FF47">
        <v>9999</v>
      </c>
      <c r="FG47">
        <v>999.9</v>
      </c>
      <c r="FH47">
        <v>4.97258</v>
      </c>
      <c r="FI47">
        <v>1.86277</v>
      </c>
      <c r="FJ47">
        <v>1.86455</v>
      </c>
      <c r="FK47">
        <v>1.86297</v>
      </c>
      <c r="FL47">
        <v>1.86298</v>
      </c>
      <c r="FM47">
        <v>1.86356</v>
      </c>
      <c r="FN47">
        <v>1.86005</v>
      </c>
      <c r="FO47">
        <v>1.86282</v>
      </c>
      <c r="FP47">
        <v>0</v>
      </c>
      <c r="FQ47">
        <v>0</v>
      </c>
      <c r="FR47">
        <v>0</v>
      </c>
      <c r="FS47">
        <v>0</v>
      </c>
      <c r="FT47" t="s">
        <v>356</v>
      </c>
      <c r="FU47" t="s">
        <v>357</v>
      </c>
      <c r="FV47" t="s">
        <v>358</v>
      </c>
      <c r="FW47" t="s">
        <v>358</v>
      </c>
      <c r="FX47" t="s">
        <v>358</v>
      </c>
      <c r="FY47" t="s">
        <v>358</v>
      </c>
      <c r="FZ47">
        <v>0</v>
      </c>
      <c r="GA47">
        <v>100</v>
      </c>
      <c r="GB47">
        <v>100</v>
      </c>
      <c r="GC47">
        <v>1.194</v>
      </c>
      <c r="GD47">
        <v>0.144</v>
      </c>
      <c r="GE47">
        <v>1.530947348179494</v>
      </c>
      <c r="GF47">
        <v>-0.001033730503750798</v>
      </c>
      <c r="GG47">
        <v>9.120241388950126E-07</v>
      </c>
      <c r="GH47">
        <v>-2.246115299815222E-10</v>
      </c>
      <c r="GI47">
        <v>-0.1018554710345976</v>
      </c>
      <c r="GJ47">
        <v>-0.01814858093373864</v>
      </c>
      <c r="GK47">
        <v>0.002091959988359369</v>
      </c>
      <c r="GL47">
        <v>-1.90871700788604E-05</v>
      </c>
      <c r="GM47">
        <v>2</v>
      </c>
      <c r="GN47">
        <v>2210</v>
      </c>
      <c r="GO47">
        <v>1</v>
      </c>
      <c r="GP47">
        <v>26</v>
      </c>
      <c r="GQ47">
        <v>1.7</v>
      </c>
      <c r="GR47">
        <v>4.1</v>
      </c>
      <c r="GS47">
        <v>1.27075</v>
      </c>
      <c r="GT47">
        <v>2.37427</v>
      </c>
      <c r="GU47">
        <v>2.34863</v>
      </c>
      <c r="GV47">
        <v>2.7124</v>
      </c>
      <c r="GW47">
        <v>2.39868</v>
      </c>
      <c r="GX47">
        <v>2.24976</v>
      </c>
      <c r="GY47">
        <v>31.6736</v>
      </c>
      <c r="GZ47">
        <v>15.7169</v>
      </c>
      <c r="HA47">
        <v>18</v>
      </c>
      <c r="HB47">
        <v>741.14</v>
      </c>
      <c r="HC47">
        <v>645.7</v>
      </c>
      <c r="HD47">
        <v>25.6782</v>
      </c>
      <c r="HE47">
        <v>24.4676</v>
      </c>
      <c r="HF47">
        <v>30.0002</v>
      </c>
      <c r="HG47">
        <v>24.3353</v>
      </c>
      <c r="HH47">
        <v>24.2948</v>
      </c>
      <c r="HI47">
        <v>25.4836</v>
      </c>
      <c r="HJ47">
        <v>25.6666</v>
      </c>
      <c r="HK47">
        <v>81.4546</v>
      </c>
      <c r="HL47">
        <v>-999.9</v>
      </c>
      <c r="HM47">
        <v>405</v>
      </c>
      <c r="HN47">
        <v>18.133</v>
      </c>
      <c r="HO47">
        <v>100.46</v>
      </c>
      <c r="HP47">
        <v>100.816</v>
      </c>
    </row>
    <row r="48" spans="1:224">
      <c r="A48">
        <v>32</v>
      </c>
      <c r="B48">
        <v>1750961588</v>
      </c>
      <c r="C48">
        <v>4317</v>
      </c>
      <c r="D48" t="s">
        <v>451</v>
      </c>
      <c r="E48" t="s">
        <v>452</v>
      </c>
      <c r="F48">
        <v>15</v>
      </c>
      <c r="G48">
        <v>1750961580</v>
      </c>
      <c r="H48">
        <f>(I48)/1000</f>
        <v>0</v>
      </c>
      <c r="I48">
        <f>IF(BD48, AL48, AF48)</f>
        <v>0</v>
      </c>
      <c r="J48">
        <f>IF(BD48, AG48, AE48)</f>
        <v>0</v>
      </c>
      <c r="K48">
        <f>BF48 - IF(AS48&gt;1, J48*AZ48*100.0/(AU48), 0)</f>
        <v>0</v>
      </c>
      <c r="L48">
        <f>((R48-H48/2)*K48-J48)/(R48+H48/2)</f>
        <v>0</v>
      </c>
      <c r="M48">
        <f>L48*(BM48+BN48)/1000.0</f>
        <v>0</v>
      </c>
      <c r="N48">
        <f>(BF48 - IF(AS48&gt;1, J48*AZ48*100.0/(AU48), 0))*(BM48+BN48)/1000.0</f>
        <v>0</v>
      </c>
      <c r="O48">
        <f>2.0/((1/Q48-1/P48)+SIGN(Q48)*SQRT((1/Q48-1/P48)*(1/Q48-1/P48) + 4*BA48/((BA48+1)*(BA48+1))*(2*1/Q48*1/P48-1/P48*1/P48)))</f>
        <v>0</v>
      </c>
      <c r="P48">
        <f>IF(LEFT(BB48,1)&lt;&gt;"0",IF(LEFT(BB48,1)="1",3.0,BC48),$D$5+$E$5*(BT48*BM48/($K$5*1000))+$F$5*(BT48*BM48/($K$5*1000))*MAX(MIN(AZ48,$J$5),$I$5)*MAX(MIN(AZ48,$J$5),$I$5)+$G$5*MAX(MIN(AZ48,$J$5),$I$5)*(BT48*BM48/($K$5*1000))+$H$5*(BT48*BM48/($K$5*1000))*(BT48*BM48/($K$5*1000)))</f>
        <v>0</v>
      </c>
      <c r="Q48">
        <f>H48*(1000-(1000*0.61365*exp(17.502*U48/(240.97+U48))/(BM48+BN48)+BH48)/2)/(1000*0.61365*exp(17.502*U48/(240.97+U48))/(BM48+BN48)-BH48)</f>
        <v>0</v>
      </c>
      <c r="R48">
        <f>1/((BA48+1)/(O48/1.6)+1/(P48/1.37)) + BA48/((BA48+1)/(O48/1.6) + BA48/(P48/1.37))</f>
        <v>0</v>
      </c>
      <c r="S48">
        <f>(AV48*AY48)</f>
        <v>0</v>
      </c>
      <c r="T48">
        <f>(BO48+(S48+2*0.95*5.67E-8*(((BO48+$B$7)+273)^4-(BO48+273)^4)-44100*H48)/(1.84*29.3*P48+8*0.95*5.67E-8*(BO48+273)^3))</f>
        <v>0</v>
      </c>
      <c r="U48">
        <f>($C$7*BP48+$D$7*BQ48+$E$7*T48)</f>
        <v>0</v>
      </c>
      <c r="V48">
        <f>0.61365*exp(17.502*U48/(240.97+U48))</f>
        <v>0</v>
      </c>
      <c r="W48">
        <f>(X48/Y48*100)</f>
        <v>0</v>
      </c>
      <c r="X48">
        <f>BH48*(BM48+BN48)/1000</f>
        <v>0</v>
      </c>
      <c r="Y48">
        <f>0.61365*exp(17.502*BO48/(240.97+BO48))</f>
        <v>0</v>
      </c>
      <c r="Z48">
        <f>(V48-BH48*(BM48+BN48)/1000)</f>
        <v>0</v>
      </c>
      <c r="AA48">
        <f>(-H48*44100)</f>
        <v>0</v>
      </c>
      <c r="AB48">
        <f>2*29.3*P48*0.92*(BO48-U48)</f>
        <v>0</v>
      </c>
      <c r="AC48">
        <f>2*0.95*5.67E-8*(((BO48+$B$7)+273)^4-(U48+273)^4)</f>
        <v>0</v>
      </c>
      <c r="AD48">
        <f>S48+AC48+AA48+AB48</f>
        <v>0</v>
      </c>
      <c r="AE48">
        <f>BL48*AS48*(BG48-BF48*(1000-AS48*BI48)/(1000-AS48*BH48))/(100*AZ48)</f>
        <v>0</v>
      </c>
      <c r="AF48">
        <f>1000*BL48*AS48*(BH48-BI48)/(100*AZ48*(1000-AS48*BH48))</f>
        <v>0</v>
      </c>
      <c r="AG48">
        <f>(AH48 - AI48 - BM48*1E3/(8.314*(BO48+273.15)) * AK48/BL48 * AJ48) * BL48/(100*AZ48) * (1000 - BI48)/1000</f>
        <v>0</v>
      </c>
      <c r="AH48">
        <v>411.9418219594948</v>
      </c>
      <c r="AI48">
        <v>405.4333818181819</v>
      </c>
      <c r="AJ48">
        <v>0.00479043520242419</v>
      </c>
      <c r="AK48">
        <v>66.94949289468046</v>
      </c>
      <c r="AL48">
        <f>(AN48 - AM48 + BM48*1E3/(8.314*(BO48+273.15)) * AP48/BL48 * AO48) * BL48/(100*AZ48) * 1000/(1000 - AN48)</f>
        <v>0</v>
      </c>
      <c r="AM48">
        <v>16.86875452999762</v>
      </c>
      <c r="AN48">
        <v>18.45664909090909</v>
      </c>
      <c r="AO48">
        <v>-2.740891963695969E-05</v>
      </c>
      <c r="AP48">
        <v>79.35592609414978</v>
      </c>
      <c r="AQ48">
        <v>350</v>
      </c>
      <c r="AR48">
        <v>44</v>
      </c>
      <c r="AS48">
        <f>IF(AQ48*$H$13&gt;=AU48,1.0,(AU48/(AU48-AQ48*$H$13)))</f>
        <v>0</v>
      </c>
      <c r="AT48">
        <f>(AS48-1)*100</f>
        <v>0</v>
      </c>
      <c r="AU48">
        <f>MAX(0,($B$13+$C$13*BT48)/(1+$D$13*BT48)*BM48/(BO48+273)*$E$13)</f>
        <v>0</v>
      </c>
      <c r="AV48">
        <f>$B$11*BU48+$C$11*BV48+$F$11*CG48*(1-CJ48)</f>
        <v>0</v>
      </c>
      <c r="AW48">
        <f>AV48*AX48</f>
        <v>0</v>
      </c>
      <c r="AX48">
        <f>($B$11*$D$9+$C$11*$D$9+$F$11*((CT48+CL48)/MAX(CT48+CL48+CU48, 0.1)*$I$9+CU48/MAX(CT48+CL48+CU48, 0.1)*$J$9))/($B$11+$C$11+$F$11)</f>
        <v>0</v>
      </c>
      <c r="AY48">
        <f>($B$11*$K$9+$C$11*$K$9+$F$11*((CT48+CL48)/MAX(CT48+CL48+CU48, 0.1)*$P$9+CU48/MAX(CT48+CL48+CU48, 0.1)*$Q$9))/($B$11+$C$11+$F$11)</f>
        <v>0</v>
      </c>
      <c r="AZ48">
        <v>6</v>
      </c>
      <c r="BA48">
        <v>0.5</v>
      </c>
      <c r="BB48" t="s">
        <v>353</v>
      </c>
      <c r="BC48">
        <v>2</v>
      </c>
      <c r="BD48" t="b">
        <v>0</v>
      </c>
      <c r="BE48">
        <v>1750961580</v>
      </c>
      <c r="BF48">
        <v>397.8784193548387</v>
      </c>
      <c r="BG48">
        <v>405.0024838709676</v>
      </c>
      <c r="BH48">
        <v>18.45967419354838</v>
      </c>
      <c r="BI48">
        <v>16.8672935483871</v>
      </c>
      <c r="BJ48">
        <v>396.7194193548387</v>
      </c>
      <c r="BK48">
        <v>18.30575161290323</v>
      </c>
      <c r="BL48">
        <v>799.9528064516129</v>
      </c>
      <c r="BM48">
        <v>101.202064516129</v>
      </c>
      <c r="BN48">
        <v>0.1001992709677419</v>
      </c>
      <c r="BO48">
        <v>26.13725806451613</v>
      </c>
      <c r="BP48">
        <v>25.28907741935484</v>
      </c>
      <c r="BQ48">
        <v>999.9000000000003</v>
      </c>
      <c r="BR48">
        <v>0</v>
      </c>
      <c r="BS48">
        <v>0</v>
      </c>
      <c r="BT48">
        <v>10000.40677419355</v>
      </c>
      <c r="BU48">
        <v>0</v>
      </c>
      <c r="BV48">
        <v>0.00152894</v>
      </c>
      <c r="BW48">
        <v>-7.085876451612903</v>
      </c>
      <c r="BX48">
        <v>405.4000967741936</v>
      </c>
      <c r="BY48">
        <v>411.9508064516129</v>
      </c>
      <c r="BZ48">
        <v>1.59238</v>
      </c>
      <c r="CA48">
        <v>405.0024838709676</v>
      </c>
      <c r="CB48">
        <v>16.8672935483871</v>
      </c>
      <c r="CC48">
        <v>1.868157096774194</v>
      </c>
      <c r="CD48">
        <v>1.707005483870968</v>
      </c>
      <c r="CE48">
        <v>16.36905806451612</v>
      </c>
      <c r="CF48">
        <v>14.96027419354838</v>
      </c>
      <c r="CG48">
        <v>1000.012612903226</v>
      </c>
      <c r="CH48">
        <v>0.9600160322580645</v>
      </c>
      <c r="CI48">
        <v>0.03998352258064517</v>
      </c>
      <c r="CJ48">
        <v>0</v>
      </c>
      <c r="CK48">
        <v>0.7508064516129034</v>
      </c>
      <c r="CL48">
        <v>0</v>
      </c>
      <c r="CM48">
        <v>7728.71064516129</v>
      </c>
      <c r="CN48">
        <v>7947.065806451612</v>
      </c>
      <c r="CO48">
        <v>36.08445161290322</v>
      </c>
      <c r="CP48">
        <v>39.62883870967742</v>
      </c>
      <c r="CQ48">
        <v>37.51390322580645</v>
      </c>
      <c r="CR48">
        <v>38.33045161290322</v>
      </c>
      <c r="CS48">
        <v>36.54203225806451</v>
      </c>
      <c r="CT48">
        <v>960.0293548387098</v>
      </c>
      <c r="CU48">
        <v>39.98290322580645</v>
      </c>
      <c r="CV48">
        <v>0</v>
      </c>
      <c r="CW48">
        <v>1750961605.1</v>
      </c>
      <c r="CX48">
        <v>0</v>
      </c>
      <c r="CY48">
        <v>1750961605</v>
      </c>
      <c r="CZ48" t="s">
        <v>453</v>
      </c>
      <c r="DA48">
        <v>1750961605</v>
      </c>
      <c r="DB48">
        <v>1750961447</v>
      </c>
      <c r="DC48">
        <v>32</v>
      </c>
      <c r="DD48">
        <v>-0.035</v>
      </c>
      <c r="DE48">
        <v>0.004</v>
      </c>
      <c r="DF48">
        <v>1.159</v>
      </c>
      <c r="DG48">
        <v>0.144</v>
      </c>
      <c r="DH48">
        <v>405</v>
      </c>
      <c r="DI48">
        <v>18</v>
      </c>
      <c r="DJ48">
        <v>0.16</v>
      </c>
      <c r="DK48">
        <v>0.16</v>
      </c>
      <c r="DL48">
        <v>-7.08042375</v>
      </c>
      <c r="DM48">
        <v>0.009603489681049564</v>
      </c>
      <c r="DN48">
        <v>0.02717956076608855</v>
      </c>
      <c r="DO48">
        <v>1</v>
      </c>
      <c r="DP48">
        <v>1.59054025</v>
      </c>
      <c r="DQ48">
        <v>0.01175178236397437</v>
      </c>
      <c r="DR48">
        <v>0.004385454074266422</v>
      </c>
      <c r="DS48">
        <v>1</v>
      </c>
      <c r="DT48">
        <v>2</v>
      </c>
      <c r="DU48">
        <v>2</v>
      </c>
      <c r="DV48" t="s">
        <v>429</v>
      </c>
      <c r="DW48">
        <v>3.44939</v>
      </c>
      <c r="DX48">
        <v>2.78167</v>
      </c>
      <c r="DY48">
        <v>0.0960464</v>
      </c>
      <c r="DZ48">
        <v>0.09750200000000001</v>
      </c>
      <c r="EA48">
        <v>0.0987854</v>
      </c>
      <c r="EB48">
        <v>0.0922135</v>
      </c>
      <c r="EC48">
        <v>27229</v>
      </c>
      <c r="ED48">
        <v>30956.5</v>
      </c>
      <c r="EE48">
        <v>29259.1</v>
      </c>
      <c r="EF48">
        <v>34889.8</v>
      </c>
      <c r="EG48">
        <v>30504.8</v>
      </c>
      <c r="EH48">
        <v>39318.3</v>
      </c>
      <c r="EI48">
        <v>36033</v>
      </c>
      <c r="EJ48">
        <v>46183.1</v>
      </c>
      <c r="EK48">
        <v>1.91085</v>
      </c>
      <c r="EL48">
        <v>2.22555</v>
      </c>
      <c r="EM48">
        <v>0.0625737</v>
      </c>
      <c r="EN48">
        <v>0</v>
      </c>
      <c r="EO48">
        <v>24.233</v>
      </c>
      <c r="EP48">
        <v>999.9</v>
      </c>
      <c r="EQ48">
        <v>63.8</v>
      </c>
      <c r="ER48">
        <v>27</v>
      </c>
      <c r="ES48">
        <v>22.5638</v>
      </c>
      <c r="ET48">
        <v>61.9148</v>
      </c>
      <c r="EU48">
        <v>26.0016</v>
      </c>
      <c r="EV48">
        <v>2</v>
      </c>
      <c r="EW48">
        <v>-0.252152</v>
      </c>
      <c r="EX48">
        <v>0</v>
      </c>
      <c r="EY48">
        <v>20.2963</v>
      </c>
      <c r="EZ48">
        <v>5.2125</v>
      </c>
      <c r="FA48">
        <v>11.968</v>
      </c>
      <c r="FB48">
        <v>4.991</v>
      </c>
      <c r="FC48">
        <v>3.272</v>
      </c>
      <c r="FD48">
        <v>3191.1</v>
      </c>
      <c r="FE48">
        <v>9999</v>
      </c>
      <c r="FF48">
        <v>9999</v>
      </c>
      <c r="FG48">
        <v>999.9</v>
      </c>
      <c r="FH48">
        <v>4.97261</v>
      </c>
      <c r="FI48">
        <v>1.86279</v>
      </c>
      <c r="FJ48">
        <v>1.86459</v>
      </c>
      <c r="FK48">
        <v>1.86301</v>
      </c>
      <c r="FL48">
        <v>1.863</v>
      </c>
      <c r="FM48">
        <v>1.86356</v>
      </c>
      <c r="FN48">
        <v>1.86005</v>
      </c>
      <c r="FO48">
        <v>1.8629</v>
      </c>
      <c r="FP48">
        <v>0</v>
      </c>
      <c r="FQ48">
        <v>0</v>
      </c>
      <c r="FR48">
        <v>0</v>
      </c>
      <c r="FS48">
        <v>0</v>
      </c>
      <c r="FT48" t="s">
        <v>356</v>
      </c>
      <c r="FU48" t="s">
        <v>357</v>
      </c>
      <c r="FV48" t="s">
        <v>358</v>
      </c>
      <c r="FW48" t="s">
        <v>358</v>
      </c>
      <c r="FX48" t="s">
        <v>358</v>
      </c>
      <c r="FY48" t="s">
        <v>358</v>
      </c>
      <c r="FZ48">
        <v>0</v>
      </c>
      <c r="GA48">
        <v>100</v>
      </c>
      <c r="GB48">
        <v>100</v>
      </c>
      <c r="GC48">
        <v>1.159</v>
      </c>
      <c r="GD48">
        <v>0.1538</v>
      </c>
      <c r="GE48">
        <v>1.477682248730228</v>
      </c>
      <c r="GF48">
        <v>-0.001033730503750798</v>
      </c>
      <c r="GG48">
        <v>9.120241388950126E-07</v>
      </c>
      <c r="GH48">
        <v>-2.246115299815222E-10</v>
      </c>
      <c r="GI48">
        <v>-0.09778401839919948</v>
      </c>
      <c r="GJ48">
        <v>-0.01814858093373864</v>
      </c>
      <c r="GK48">
        <v>0.002091959988359369</v>
      </c>
      <c r="GL48">
        <v>-1.90871700788604E-05</v>
      </c>
      <c r="GM48">
        <v>2</v>
      </c>
      <c r="GN48">
        <v>2210</v>
      </c>
      <c r="GO48">
        <v>1</v>
      </c>
      <c r="GP48">
        <v>26</v>
      </c>
      <c r="GQ48">
        <v>2.4</v>
      </c>
      <c r="GR48">
        <v>2.4</v>
      </c>
      <c r="GS48">
        <v>1.26953</v>
      </c>
      <c r="GT48">
        <v>2.38281</v>
      </c>
      <c r="GU48">
        <v>2.34741</v>
      </c>
      <c r="GV48">
        <v>2.7124</v>
      </c>
      <c r="GW48">
        <v>2.39868</v>
      </c>
      <c r="GX48">
        <v>2.29614</v>
      </c>
      <c r="GY48">
        <v>31.8049</v>
      </c>
      <c r="GZ48">
        <v>15.6993</v>
      </c>
      <c r="HA48">
        <v>18</v>
      </c>
      <c r="HB48">
        <v>412.012</v>
      </c>
      <c r="HC48">
        <v>643.472</v>
      </c>
      <c r="HD48">
        <v>25.5321</v>
      </c>
      <c r="HE48">
        <v>24.3637</v>
      </c>
      <c r="HF48">
        <v>29.9996</v>
      </c>
      <c r="HG48">
        <v>24.248</v>
      </c>
      <c r="HH48">
        <v>24.1906</v>
      </c>
      <c r="HI48">
        <v>25.4526</v>
      </c>
      <c r="HJ48">
        <v>30.77</v>
      </c>
      <c r="HK48">
        <v>79.9494</v>
      </c>
      <c r="HL48">
        <v>-999.9</v>
      </c>
      <c r="HM48">
        <v>405</v>
      </c>
      <c r="HN48">
        <v>16.9058</v>
      </c>
      <c r="HO48">
        <v>100.483</v>
      </c>
      <c r="HP48">
        <v>100.842</v>
      </c>
    </row>
    <row r="49" spans="1:224">
      <c r="A49">
        <v>33</v>
      </c>
      <c r="B49">
        <v>1750961745.5</v>
      </c>
      <c r="C49">
        <v>4474.5</v>
      </c>
      <c r="D49" t="s">
        <v>454</v>
      </c>
      <c r="E49" t="s">
        <v>455</v>
      </c>
      <c r="F49">
        <v>15</v>
      </c>
      <c r="G49">
        <v>1750961737.75</v>
      </c>
      <c r="H49">
        <f>(I49)/1000</f>
        <v>0</v>
      </c>
      <c r="I49">
        <f>IF(BD49, AL49, AF49)</f>
        <v>0</v>
      </c>
      <c r="J49">
        <f>IF(BD49, AG49, AE49)</f>
        <v>0</v>
      </c>
      <c r="K49">
        <f>BF49 - IF(AS49&gt;1, J49*AZ49*100.0/(AU49), 0)</f>
        <v>0</v>
      </c>
      <c r="L49">
        <f>((R49-H49/2)*K49-J49)/(R49+H49/2)</f>
        <v>0</v>
      </c>
      <c r="M49">
        <f>L49*(BM49+BN49)/1000.0</f>
        <v>0</v>
      </c>
      <c r="N49">
        <f>(BF49 - IF(AS49&gt;1, J49*AZ49*100.0/(AU49), 0))*(BM49+BN49)/1000.0</f>
        <v>0</v>
      </c>
      <c r="O49">
        <f>2.0/((1/Q49-1/P49)+SIGN(Q49)*SQRT((1/Q49-1/P49)*(1/Q49-1/P49) + 4*BA49/((BA49+1)*(BA49+1))*(2*1/Q49*1/P49-1/P49*1/P49)))</f>
        <v>0</v>
      </c>
      <c r="P49">
        <f>IF(LEFT(BB49,1)&lt;&gt;"0",IF(LEFT(BB49,1)="1",3.0,BC49),$D$5+$E$5*(BT49*BM49/($K$5*1000))+$F$5*(BT49*BM49/($K$5*1000))*MAX(MIN(AZ49,$J$5),$I$5)*MAX(MIN(AZ49,$J$5),$I$5)+$G$5*MAX(MIN(AZ49,$J$5),$I$5)*(BT49*BM49/($K$5*1000))+$H$5*(BT49*BM49/($K$5*1000))*(BT49*BM49/($K$5*1000)))</f>
        <v>0</v>
      </c>
      <c r="Q49">
        <f>H49*(1000-(1000*0.61365*exp(17.502*U49/(240.97+U49))/(BM49+BN49)+BH49)/2)/(1000*0.61365*exp(17.502*U49/(240.97+U49))/(BM49+BN49)-BH49)</f>
        <v>0</v>
      </c>
      <c r="R49">
        <f>1/((BA49+1)/(O49/1.6)+1/(P49/1.37)) + BA49/((BA49+1)/(O49/1.6) + BA49/(P49/1.37))</f>
        <v>0</v>
      </c>
      <c r="S49">
        <f>(AV49*AY49)</f>
        <v>0</v>
      </c>
      <c r="T49">
        <f>(BO49+(S49+2*0.95*5.67E-8*(((BO49+$B$7)+273)^4-(BO49+273)^4)-44100*H49)/(1.84*29.3*P49+8*0.95*5.67E-8*(BO49+273)^3))</f>
        <v>0</v>
      </c>
      <c r="U49">
        <f>($C$7*BP49+$D$7*BQ49+$E$7*T49)</f>
        <v>0</v>
      </c>
      <c r="V49">
        <f>0.61365*exp(17.502*U49/(240.97+U49))</f>
        <v>0</v>
      </c>
      <c r="W49">
        <f>(X49/Y49*100)</f>
        <v>0</v>
      </c>
      <c r="X49">
        <f>BH49*(BM49+BN49)/1000</f>
        <v>0</v>
      </c>
      <c r="Y49">
        <f>0.61365*exp(17.502*BO49/(240.97+BO49))</f>
        <v>0</v>
      </c>
      <c r="Z49">
        <f>(V49-BH49*(BM49+BN49)/1000)</f>
        <v>0</v>
      </c>
      <c r="AA49">
        <f>(-H49*44100)</f>
        <v>0</v>
      </c>
      <c r="AB49">
        <f>2*29.3*P49*0.92*(BO49-U49)</f>
        <v>0</v>
      </c>
      <c r="AC49">
        <f>2*0.95*5.67E-8*(((BO49+$B$7)+273)^4-(U49+273)^4)</f>
        <v>0</v>
      </c>
      <c r="AD49">
        <f>S49+AC49+AA49+AB49</f>
        <v>0</v>
      </c>
      <c r="AE49">
        <f>BL49*AS49*(BG49-BF49*(1000-AS49*BI49)/(1000-AS49*BH49))/(100*AZ49)</f>
        <v>0</v>
      </c>
      <c r="AF49">
        <f>1000*BL49*AS49*(BH49-BI49)/(100*AZ49*(1000-AS49*BH49))</f>
        <v>0</v>
      </c>
      <c r="AG49">
        <f>(AH49 - AI49 - BM49*1E3/(8.314*(BO49+273.15)) * AK49/BL49 * AJ49) * BL49/(100*AZ49) * (1000 - BI49)/1000</f>
        <v>0</v>
      </c>
      <c r="AH49">
        <v>412.3699937721463</v>
      </c>
      <c r="AI49">
        <v>412.0706242424243</v>
      </c>
      <c r="AJ49">
        <v>0.0004465190883155785</v>
      </c>
      <c r="AK49">
        <v>66.94931726986734</v>
      </c>
      <c r="AL49">
        <f>(AN49 - AM49 + BM49*1E3/(8.314*(BO49+273.15)) * AP49/BL49 * AO49) * BL49/(100*AZ49) * 1000/(1000 - AN49)</f>
        <v>0</v>
      </c>
      <c r="AM49">
        <v>17.79527543967625</v>
      </c>
      <c r="AN49">
        <v>18.43317818181817</v>
      </c>
      <c r="AO49">
        <v>-8.003811060069213E-06</v>
      </c>
      <c r="AP49">
        <v>79.35399242848078</v>
      </c>
      <c r="AQ49">
        <v>541</v>
      </c>
      <c r="AR49">
        <v>68</v>
      </c>
      <c r="AS49">
        <f>IF(AQ49*$H$13&gt;=AU49,1.0,(AU49/(AU49-AQ49*$H$13)))</f>
        <v>0</v>
      </c>
      <c r="AT49">
        <f>(AS49-1)*100</f>
        <v>0</v>
      </c>
      <c r="AU49">
        <f>MAX(0,($B$13+$C$13*BT49)/(1+$D$13*BT49)*BM49/(BO49+273)*$E$13)</f>
        <v>0</v>
      </c>
      <c r="AV49">
        <f>$B$11*BU49+$C$11*BV49+$F$11*CG49*(1-CJ49)</f>
        <v>0</v>
      </c>
      <c r="AW49">
        <f>AV49*AX49</f>
        <v>0</v>
      </c>
      <c r="AX49">
        <f>($B$11*$D$9+$C$11*$D$9+$F$11*((CT49+CL49)/MAX(CT49+CL49+CU49, 0.1)*$I$9+CU49/MAX(CT49+CL49+CU49, 0.1)*$J$9))/($B$11+$C$11+$F$11)</f>
        <v>0</v>
      </c>
      <c r="AY49">
        <f>($B$11*$K$9+$C$11*$K$9+$F$11*((CT49+CL49)/MAX(CT49+CL49+CU49, 0.1)*$P$9+CU49/MAX(CT49+CL49+CU49, 0.1)*$Q$9))/($B$11+$C$11+$F$11)</f>
        <v>0</v>
      </c>
      <c r="AZ49">
        <v>6</v>
      </c>
      <c r="BA49">
        <v>0.5</v>
      </c>
      <c r="BB49" t="s">
        <v>353</v>
      </c>
      <c r="BC49">
        <v>2</v>
      </c>
      <c r="BD49" t="b">
        <v>0</v>
      </c>
      <c r="BE49">
        <v>1750961737.75</v>
      </c>
      <c r="BF49">
        <v>404.4820666666667</v>
      </c>
      <c r="BG49">
        <v>405.0103333333333</v>
      </c>
      <c r="BH49">
        <v>18.41715</v>
      </c>
      <c r="BI49">
        <v>17.79654</v>
      </c>
      <c r="BJ49">
        <v>403.3000666666667</v>
      </c>
      <c r="BK49">
        <v>18.28715</v>
      </c>
      <c r="BL49">
        <v>800.008</v>
      </c>
      <c r="BM49">
        <v>101.1965666666667</v>
      </c>
      <c r="BN49">
        <v>0.1000051766666667</v>
      </c>
      <c r="BO49">
        <v>26.11286333333333</v>
      </c>
      <c r="BP49">
        <v>25.76942</v>
      </c>
      <c r="BQ49">
        <v>999.9000000000002</v>
      </c>
      <c r="BR49">
        <v>0</v>
      </c>
      <c r="BS49">
        <v>0</v>
      </c>
      <c r="BT49">
        <v>10006.37333333333</v>
      </c>
      <c r="BU49">
        <v>0</v>
      </c>
      <c r="BV49">
        <v>0.00152894</v>
      </c>
      <c r="BW49">
        <v>-0.5512787333333333</v>
      </c>
      <c r="BX49">
        <v>412.0577000000001</v>
      </c>
      <c r="BY49">
        <v>412.3487666666667</v>
      </c>
      <c r="BZ49">
        <v>0.6438117</v>
      </c>
      <c r="CA49">
        <v>405.0103333333333</v>
      </c>
      <c r="CB49">
        <v>17.79654</v>
      </c>
      <c r="CC49">
        <v>1.866098333333333</v>
      </c>
      <c r="CD49">
        <v>1.800947</v>
      </c>
      <c r="CE49">
        <v>16.35173333333333</v>
      </c>
      <c r="CF49">
        <v>15.79500666666667</v>
      </c>
      <c r="CG49">
        <v>999.9616</v>
      </c>
      <c r="CH49">
        <v>0.9599882666666666</v>
      </c>
      <c r="CI49">
        <v>0.04001200999999999</v>
      </c>
      <c r="CJ49">
        <v>0</v>
      </c>
      <c r="CK49">
        <v>3.639166666666667</v>
      </c>
      <c r="CL49">
        <v>0</v>
      </c>
      <c r="CM49">
        <v>5483.434000000002</v>
      </c>
      <c r="CN49">
        <v>7946.568666666667</v>
      </c>
      <c r="CO49">
        <v>37.74136666666666</v>
      </c>
      <c r="CP49">
        <v>41.73303333333332</v>
      </c>
      <c r="CQ49">
        <v>39.14143333333332</v>
      </c>
      <c r="CR49">
        <v>41.09349999999998</v>
      </c>
      <c r="CS49">
        <v>38.11436666666665</v>
      </c>
      <c r="CT49">
        <v>959.9516666666666</v>
      </c>
      <c r="CU49">
        <v>40.01</v>
      </c>
      <c r="CV49">
        <v>0</v>
      </c>
      <c r="CW49">
        <v>1750961762.9</v>
      </c>
      <c r="CX49">
        <v>0</v>
      </c>
      <c r="CY49">
        <v>1750961763</v>
      </c>
      <c r="CZ49" t="s">
        <v>456</v>
      </c>
      <c r="DA49">
        <v>1750961763</v>
      </c>
      <c r="DB49">
        <v>1750961762.5</v>
      </c>
      <c r="DC49">
        <v>33</v>
      </c>
      <c r="DD49">
        <v>0.024</v>
      </c>
      <c r="DE49">
        <v>0</v>
      </c>
      <c r="DF49">
        <v>1.182</v>
      </c>
      <c r="DG49">
        <v>0.13</v>
      </c>
      <c r="DH49">
        <v>405</v>
      </c>
      <c r="DI49">
        <v>18</v>
      </c>
      <c r="DJ49">
        <v>0.33</v>
      </c>
      <c r="DK49">
        <v>0.15</v>
      </c>
      <c r="DL49">
        <v>-0.5599670975609756</v>
      </c>
      <c r="DM49">
        <v>0.103709310104529</v>
      </c>
      <c r="DN49">
        <v>0.02556320750496114</v>
      </c>
      <c r="DO49">
        <v>0</v>
      </c>
      <c r="DP49">
        <v>0.6235342195121951</v>
      </c>
      <c r="DQ49">
        <v>0.2570287735191644</v>
      </c>
      <c r="DR49">
        <v>0.0414430315714218</v>
      </c>
      <c r="DS49">
        <v>0</v>
      </c>
      <c r="DT49">
        <v>0</v>
      </c>
      <c r="DU49">
        <v>2</v>
      </c>
      <c r="DV49" t="s">
        <v>362</v>
      </c>
      <c r="DW49">
        <v>3.45</v>
      </c>
      <c r="DX49">
        <v>2.78078</v>
      </c>
      <c r="DY49">
        <v>0.09727089999999999</v>
      </c>
      <c r="DZ49">
        <v>0.0975302</v>
      </c>
      <c r="EA49">
        <v>0.09871190000000001</v>
      </c>
      <c r="EB49">
        <v>0.0958217</v>
      </c>
      <c r="EC49">
        <v>27196.8</v>
      </c>
      <c r="ED49">
        <v>30958.2</v>
      </c>
      <c r="EE49">
        <v>29263.7</v>
      </c>
      <c r="EF49">
        <v>34892.2</v>
      </c>
      <c r="EG49">
        <v>30512.6</v>
      </c>
      <c r="EH49">
        <v>39165</v>
      </c>
      <c r="EI49">
        <v>36039.5</v>
      </c>
      <c r="EJ49">
        <v>46187</v>
      </c>
      <c r="EK49">
        <v>1.45425</v>
      </c>
      <c r="EL49">
        <v>2.2287</v>
      </c>
      <c r="EM49">
        <v>0.106327</v>
      </c>
      <c r="EN49">
        <v>0</v>
      </c>
      <c r="EO49">
        <v>24.0463</v>
      </c>
      <c r="EP49">
        <v>999.9</v>
      </c>
      <c r="EQ49">
        <v>63.7</v>
      </c>
      <c r="ER49">
        <v>27</v>
      </c>
      <c r="ES49">
        <v>22.5295</v>
      </c>
      <c r="ET49">
        <v>62.1448</v>
      </c>
      <c r="EU49">
        <v>26.0296</v>
      </c>
      <c r="EV49">
        <v>2</v>
      </c>
      <c r="EW49">
        <v>-0.260066</v>
      </c>
      <c r="EX49">
        <v>0</v>
      </c>
      <c r="EY49">
        <v>20.2963</v>
      </c>
      <c r="EZ49">
        <v>5.21325</v>
      </c>
      <c r="FA49">
        <v>11.968</v>
      </c>
      <c r="FB49">
        <v>4.99155</v>
      </c>
      <c r="FC49">
        <v>3.272</v>
      </c>
      <c r="FD49">
        <v>3196</v>
      </c>
      <c r="FE49">
        <v>9999</v>
      </c>
      <c r="FF49">
        <v>9999</v>
      </c>
      <c r="FG49">
        <v>999.9</v>
      </c>
      <c r="FH49">
        <v>4.97262</v>
      </c>
      <c r="FI49">
        <v>1.86279</v>
      </c>
      <c r="FJ49">
        <v>1.8646</v>
      </c>
      <c r="FK49">
        <v>1.86297</v>
      </c>
      <c r="FL49">
        <v>1.86298</v>
      </c>
      <c r="FM49">
        <v>1.86356</v>
      </c>
      <c r="FN49">
        <v>1.86005</v>
      </c>
      <c r="FO49">
        <v>1.86287</v>
      </c>
      <c r="FP49">
        <v>0</v>
      </c>
      <c r="FQ49">
        <v>0</v>
      </c>
      <c r="FR49">
        <v>0</v>
      </c>
      <c r="FS49">
        <v>0</v>
      </c>
      <c r="FT49" t="s">
        <v>356</v>
      </c>
      <c r="FU49" t="s">
        <v>357</v>
      </c>
      <c r="FV49" t="s">
        <v>358</v>
      </c>
      <c r="FW49" t="s">
        <v>358</v>
      </c>
      <c r="FX49" t="s">
        <v>358</v>
      </c>
      <c r="FY49" t="s">
        <v>358</v>
      </c>
      <c r="FZ49">
        <v>0</v>
      </c>
      <c r="GA49">
        <v>100</v>
      </c>
      <c r="GB49">
        <v>100</v>
      </c>
      <c r="GC49">
        <v>1.182</v>
      </c>
      <c r="GD49">
        <v>0.13</v>
      </c>
      <c r="GE49">
        <v>1.442329990145603</v>
      </c>
      <c r="GF49">
        <v>-0.001033730503750798</v>
      </c>
      <c r="GG49">
        <v>9.120241388950126E-07</v>
      </c>
      <c r="GH49">
        <v>-2.246115299815222E-10</v>
      </c>
      <c r="GI49">
        <v>-0.09778401839919948</v>
      </c>
      <c r="GJ49">
        <v>-0.01814858093373864</v>
      </c>
      <c r="GK49">
        <v>0.002091959988359369</v>
      </c>
      <c r="GL49">
        <v>-1.90871700788604E-05</v>
      </c>
      <c r="GM49">
        <v>2</v>
      </c>
      <c r="GN49">
        <v>2210</v>
      </c>
      <c r="GO49">
        <v>1</v>
      </c>
      <c r="GP49">
        <v>26</v>
      </c>
      <c r="GQ49">
        <v>2.3</v>
      </c>
      <c r="GR49">
        <v>5</v>
      </c>
      <c r="GS49">
        <v>1.26953</v>
      </c>
      <c r="GT49">
        <v>2.38159</v>
      </c>
      <c r="GU49">
        <v>2.34741</v>
      </c>
      <c r="GV49">
        <v>2.71118</v>
      </c>
      <c r="GW49">
        <v>2.39868</v>
      </c>
      <c r="GX49">
        <v>2.24854</v>
      </c>
      <c r="GY49">
        <v>31.783</v>
      </c>
      <c r="GZ49">
        <v>15.6643</v>
      </c>
      <c r="HA49">
        <v>18</v>
      </c>
      <c r="HB49">
        <v>226.902</v>
      </c>
      <c r="HC49">
        <v>644.776</v>
      </c>
      <c r="HD49">
        <v>25.3964</v>
      </c>
      <c r="HE49">
        <v>24.2413</v>
      </c>
      <c r="HF49">
        <v>30</v>
      </c>
      <c r="HG49">
        <v>24.1566</v>
      </c>
      <c r="HH49">
        <v>24.0906</v>
      </c>
      <c r="HI49">
        <v>25.4659</v>
      </c>
      <c r="HJ49">
        <v>27.2937</v>
      </c>
      <c r="HK49">
        <v>78.077</v>
      </c>
      <c r="HL49">
        <v>-999.9</v>
      </c>
      <c r="HM49">
        <v>405</v>
      </c>
      <c r="HN49">
        <v>17.7884</v>
      </c>
      <c r="HO49">
        <v>100.5</v>
      </c>
      <c r="HP49">
        <v>100.849</v>
      </c>
    </row>
    <row r="50" spans="1:224">
      <c r="A50">
        <v>34</v>
      </c>
      <c r="B50">
        <v>1750961906.5</v>
      </c>
      <c r="C50">
        <v>4635.5</v>
      </c>
      <c r="D50" t="s">
        <v>457</v>
      </c>
      <c r="E50" t="s">
        <v>458</v>
      </c>
      <c r="F50">
        <v>15</v>
      </c>
      <c r="G50">
        <v>1750961898.75</v>
      </c>
      <c r="H50">
        <f>(I50)/1000</f>
        <v>0</v>
      </c>
      <c r="I50">
        <f>IF(BD50, AL50, AF50)</f>
        <v>0</v>
      </c>
      <c r="J50">
        <f>IF(BD50, AG50, AE50)</f>
        <v>0</v>
      </c>
      <c r="K50">
        <f>BF50 - IF(AS50&gt;1, J50*AZ50*100.0/(AU50), 0)</f>
        <v>0</v>
      </c>
      <c r="L50">
        <f>((R50-H50/2)*K50-J50)/(R50+H50/2)</f>
        <v>0</v>
      </c>
      <c r="M50">
        <f>L50*(BM50+BN50)/1000.0</f>
        <v>0</v>
      </c>
      <c r="N50">
        <f>(BF50 - IF(AS50&gt;1, J50*AZ50*100.0/(AU50), 0))*(BM50+BN50)/1000.0</f>
        <v>0</v>
      </c>
      <c r="O50">
        <f>2.0/((1/Q50-1/P50)+SIGN(Q50)*SQRT((1/Q50-1/P50)*(1/Q50-1/P50) + 4*BA50/((BA50+1)*(BA50+1))*(2*1/Q50*1/P50-1/P50*1/P50)))</f>
        <v>0</v>
      </c>
      <c r="P50">
        <f>IF(LEFT(BB50,1)&lt;&gt;"0",IF(LEFT(BB50,1)="1",3.0,BC50),$D$5+$E$5*(BT50*BM50/($K$5*1000))+$F$5*(BT50*BM50/($K$5*1000))*MAX(MIN(AZ50,$J$5),$I$5)*MAX(MIN(AZ50,$J$5),$I$5)+$G$5*MAX(MIN(AZ50,$J$5),$I$5)*(BT50*BM50/($K$5*1000))+$H$5*(BT50*BM50/($K$5*1000))*(BT50*BM50/($K$5*1000)))</f>
        <v>0</v>
      </c>
      <c r="Q50">
        <f>H50*(1000-(1000*0.61365*exp(17.502*U50/(240.97+U50))/(BM50+BN50)+BH50)/2)/(1000*0.61365*exp(17.502*U50/(240.97+U50))/(BM50+BN50)-BH50)</f>
        <v>0</v>
      </c>
      <c r="R50">
        <f>1/((BA50+1)/(O50/1.6)+1/(P50/1.37)) + BA50/((BA50+1)/(O50/1.6) + BA50/(P50/1.37))</f>
        <v>0</v>
      </c>
      <c r="S50">
        <f>(AV50*AY50)</f>
        <v>0</v>
      </c>
      <c r="T50">
        <f>(BO50+(S50+2*0.95*5.67E-8*(((BO50+$B$7)+273)^4-(BO50+273)^4)-44100*H50)/(1.84*29.3*P50+8*0.95*5.67E-8*(BO50+273)^3))</f>
        <v>0</v>
      </c>
      <c r="U50">
        <f>($C$7*BP50+$D$7*BQ50+$E$7*T50)</f>
        <v>0</v>
      </c>
      <c r="V50">
        <f>0.61365*exp(17.502*U50/(240.97+U50))</f>
        <v>0</v>
      </c>
      <c r="W50">
        <f>(X50/Y50*100)</f>
        <v>0</v>
      </c>
      <c r="X50">
        <f>BH50*(BM50+BN50)/1000</f>
        <v>0</v>
      </c>
      <c r="Y50">
        <f>0.61365*exp(17.502*BO50/(240.97+BO50))</f>
        <v>0</v>
      </c>
      <c r="Z50">
        <f>(V50-BH50*(BM50+BN50)/1000)</f>
        <v>0</v>
      </c>
      <c r="AA50">
        <f>(-H50*44100)</f>
        <v>0</v>
      </c>
      <c r="AB50">
        <f>2*29.3*P50*0.92*(BO50-U50)</f>
        <v>0</v>
      </c>
      <c r="AC50">
        <f>2*0.95*5.67E-8*(((BO50+$B$7)+273)^4-(U50+273)^4)</f>
        <v>0</v>
      </c>
      <c r="AD50">
        <f>S50+AC50+AA50+AB50</f>
        <v>0</v>
      </c>
      <c r="AE50">
        <f>BL50*AS50*(BG50-BF50*(1000-AS50*BI50)/(1000-AS50*BH50))/(100*AZ50)</f>
        <v>0</v>
      </c>
      <c r="AF50">
        <f>1000*BL50*AS50*(BH50-BI50)/(100*AZ50*(1000-AS50*BH50))</f>
        <v>0</v>
      </c>
      <c r="AG50">
        <f>(AH50 - AI50 - BM50*1E3/(8.314*(BO50+273.15)) * AK50/BL50 * AJ50) * BL50/(100*AZ50) * (1000 - BI50)/1000</f>
        <v>0</v>
      </c>
      <c r="AH50">
        <v>412.4055398602766</v>
      </c>
      <c r="AI50">
        <v>412.3845818181816</v>
      </c>
      <c r="AJ50">
        <v>0.0004294338352818999</v>
      </c>
      <c r="AK50">
        <v>66.95261585393672</v>
      </c>
      <c r="AL50">
        <f>(AN50 - AM50 + BM50*1E3/(8.314*(BO50+273.15)) * AP50/BL50 * AO50) * BL50/(100*AZ50) * 1000/(1000 - AN50)</f>
        <v>0</v>
      </c>
      <c r="AM50">
        <v>17.99202798345985</v>
      </c>
      <c r="AN50">
        <v>18.30347333333333</v>
      </c>
      <c r="AO50">
        <v>-1.637739556839884E-05</v>
      </c>
      <c r="AP50">
        <v>79.24782740164032</v>
      </c>
      <c r="AQ50">
        <v>799</v>
      </c>
      <c r="AR50">
        <v>100</v>
      </c>
      <c r="AS50">
        <f>IF(AQ50*$H$13&gt;=AU50,1.0,(AU50/(AU50-AQ50*$H$13)))</f>
        <v>0</v>
      </c>
      <c r="AT50">
        <f>(AS50-1)*100</f>
        <v>0</v>
      </c>
      <c r="AU50">
        <f>MAX(0,($B$13+$C$13*BT50)/(1+$D$13*BT50)*BM50/(BO50+273)*$E$13)</f>
        <v>0</v>
      </c>
      <c r="AV50">
        <f>$B$11*BU50+$C$11*BV50+$F$11*CG50*(1-CJ50)</f>
        <v>0</v>
      </c>
      <c r="AW50">
        <f>AV50*AX50</f>
        <v>0</v>
      </c>
      <c r="AX50">
        <f>($B$11*$D$9+$C$11*$D$9+$F$11*((CT50+CL50)/MAX(CT50+CL50+CU50, 0.1)*$I$9+CU50/MAX(CT50+CL50+CU50, 0.1)*$J$9))/($B$11+$C$11+$F$11)</f>
        <v>0</v>
      </c>
      <c r="AY50">
        <f>($B$11*$K$9+$C$11*$K$9+$F$11*((CT50+CL50)/MAX(CT50+CL50+CU50, 0.1)*$P$9+CU50/MAX(CT50+CL50+CU50, 0.1)*$Q$9))/($B$11+$C$11+$F$11)</f>
        <v>0</v>
      </c>
      <c r="AZ50">
        <v>6</v>
      </c>
      <c r="BA50">
        <v>0.5</v>
      </c>
      <c r="BB50" t="s">
        <v>353</v>
      </c>
      <c r="BC50">
        <v>2</v>
      </c>
      <c r="BD50" t="b">
        <v>0</v>
      </c>
      <c r="BE50">
        <v>1750961898.75</v>
      </c>
      <c r="BF50">
        <v>404.7761666666667</v>
      </c>
      <c r="BG50">
        <v>405.0019333333332</v>
      </c>
      <c r="BH50">
        <v>18.30141666666666</v>
      </c>
      <c r="BI50">
        <v>17.99165333333334</v>
      </c>
      <c r="BJ50">
        <v>403.6331666666667</v>
      </c>
      <c r="BK50">
        <v>18.16241666666667</v>
      </c>
      <c r="BL50">
        <v>799.9177333333334</v>
      </c>
      <c r="BM50">
        <v>101.1904666666667</v>
      </c>
      <c r="BN50">
        <v>0.1066656666666667</v>
      </c>
      <c r="BO50">
        <v>26.12407333333334</v>
      </c>
      <c r="BP50">
        <v>25.70213</v>
      </c>
      <c r="BQ50">
        <v>999.9000000000002</v>
      </c>
      <c r="BR50">
        <v>0</v>
      </c>
      <c r="BS50">
        <v>0</v>
      </c>
      <c r="BT50">
        <v>9998.919333333331</v>
      </c>
      <c r="BU50">
        <v>0</v>
      </c>
      <c r="BV50">
        <v>0.00152894</v>
      </c>
      <c r="BW50">
        <v>-0.1860799</v>
      </c>
      <c r="BX50">
        <v>412.3667666666667</v>
      </c>
      <c r="BY50">
        <v>412.4220666666666</v>
      </c>
      <c r="BZ50">
        <v>0.3195453999999999</v>
      </c>
      <c r="CA50">
        <v>405.0019333333332</v>
      </c>
      <c r="CB50">
        <v>17.99165333333334</v>
      </c>
      <c r="CC50">
        <v>1.852920333333333</v>
      </c>
      <c r="CD50">
        <v>1.820585666666667</v>
      </c>
      <c r="CE50">
        <v>16.24051666666667</v>
      </c>
      <c r="CF50">
        <v>15.96465</v>
      </c>
      <c r="CG50">
        <v>999.9883333333332</v>
      </c>
      <c r="CH50">
        <v>0.9600126666666667</v>
      </c>
      <c r="CI50">
        <v>0.03998733333333335</v>
      </c>
      <c r="CJ50">
        <v>0</v>
      </c>
      <c r="CK50">
        <v>1.443166666666667</v>
      </c>
      <c r="CL50">
        <v>0</v>
      </c>
      <c r="CM50">
        <v>4583.105666666666</v>
      </c>
      <c r="CN50">
        <v>7946.864</v>
      </c>
      <c r="CO50">
        <v>35.76226666666666</v>
      </c>
      <c r="CP50">
        <v>38.34349999999999</v>
      </c>
      <c r="CQ50">
        <v>37.04973333333332</v>
      </c>
      <c r="CR50">
        <v>37.54973333333332</v>
      </c>
      <c r="CS50">
        <v>36.20806666666666</v>
      </c>
      <c r="CT50">
        <v>960.002</v>
      </c>
      <c r="CU50">
        <v>39.98633333333333</v>
      </c>
      <c r="CV50">
        <v>0</v>
      </c>
      <c r="CW50">
        <v>1750961923.7</v>
      </c>
      <c r="CX50">
        <v>0</v>
      </c>
      <c r="CY50">
        <v>1750961925</v>
      </c>
      <c r="CZ50" t="s">
        <v>459</v>
      </c>
      <c r="DA50">
        <v>1750961925</v>
      </c>
      <c r="DB50">
        <v>1750961922.5</v>
      </c>
      <c r="DC50">
        <v>34</v>
      </c>
      <c r="DD50">
        <v>-0.04</v>
      </c>
      <c r="DE50">
        <v>0.002</v>
      </c>
      <c r="DF50">
        <v>1.143</v>
      </c>
      <c r="DG50">
        <v>0.139</v>
      </c>
      <c r="DH50">
        <v>405</v>
      </c>
      <c r="DI50">
        <v>18</v>
      </c>
      <c r="DJ50">
        <v>0.27</v>
      </c>
      <c r="DK50">
        <v>0.16</v>
      </c>
      <c r="DL50">
        <v>-0.205423725</v>
      </c>
      <c r="DM50">
        <v>0.3413299024390246</v>
      </c>
      <c r="DN50">
        <v>0.03948191948473852</v>
      </c>
      <c r="DO50">
        <v>0</v>
      </c>
      <c r="DP50">
        <v>0.32426875</v>
      </c>
      <c r="DQ50">
        <v>-0.0935234746716703</v>
      </c>
      <c r="DR50">
        <v>0.009127222514954916</v>
      </c>
      <c r="DS50">
        <v>1</v>
      </c>
      <c r="DT50">
        <v>1</v>
      </c>
      <c r="DU50">
        <v>2</v>
      </c>
      <c r="DV50" t="s">
        <v>355</v>
      </c>
      <c r="DW50">
        <v>3.44995</v>
      </c>
      <c r="DX50">
        <v>2.7883</v>
      </c>
      <c r="DY50">
        <v>0.09731140000000001</v>
      </c>
      <c r="DZ50">
        <v>0.0975423</v>
      </c>
      <c r="EA50">
        <v>0.09819360000000001</v>
      </c>
      <c r="EB50">
        <v>0.0965717</v>
      </c>
      <c r="EC50">
        <v>27196.1</v>
      </c>
      <c r="ED50">
        <v>30957.9</v>
      </c>
      <c r="EE50">
        <v>29264.1</v>
      </c>
      <c r="EF50">
        <v>34892.2</v>
      </c>
      <c r="EG50">
        <v>30531</v>
      </c>
      <c r="EH50">
        <v>39133.1</v>
      </c>
      <c r="EI50">
        <v>36040.3</v>
      </c>
      <c r="EJ50">
        <v>46187.8</v>
      </c>
      <c r="EK50">
        <v>0.288</v>
      </c>
      <c r="EL50">
        <v>2.2295</v>
      </c>
      <c r="EM50">
        <v>0.092186</v>
      </c>
      <c r="EN50">
        <v>0</v>
      </c>
      <c r="EO50">
        <v>24.1719</v>
      </c>
      <c r="EP50">
        <v>999.9</v>
      </c>
      <c r="EQ50">
        <v>63.5</v>
      </c>
      <c r="ER50">
        <v>27.1</v>
      </c>
      <c r="ES50">
        <v>22.5931</v>
      </c>
      <c r="ET50">
        <v>62.0948</v>
      </c>
      <c r="EU50">
        <v>26.4904</v>
      </c>
      <c r="EV50">
        <v>2</v>
      </c>
      <c r="EW50">
        <v>-0.261458</v>
      </c>
      <c r="EX50">
        <v>0</v>
      </c>
      <c r="EY50">
        <v>20.2944</v>
      </c>
      <c r="EZ50">
        <v>5.21444</v>
      </c>
      <c r="FA50">
        <v>11.968</v>
      </c>
      <c r="FB50">
        <v>4.9914</v>
      </c>
      <c r="FC50">
        <v>3.272</v>
      </c>
      <c r="FD50">
        <v>3201.2</v>
      </c>
      <c r="FE50">
        <v>9999</v>
      </c>
      <c r="FF50">
        <v>9999</v>
      </c>
      <c r="FG50">
        <v>999.9</v>
      </c>
      <c r="FH50">
        <v>4.97261</v>
      </c>
      <c r="FI50">
        <v>1.86279</v>
      </c>
      <c r="FJ50">
        <v>1.8646</v>
      </c>
      <c r="FK50">
        <v>1.86296</v>
      </c>
      <c r="FL50">
        <v>1.86296</v>
      </c>
      <c r="FM50">
        <v>1.86356</v>
      </c>
      <c r="FN50">
        <v>1.86005</v>
      </c>
      <c r="FO50">
        <v>1.8628</v>
      </c>
      <c r="FP50">
        <v>0</v>
      </c>
      <c r="FQ50">
        <v>0</v>
      </c>
      <c r="FR50">
        <v>0</v>
      </c>
      <c r="FS50">
        <v>0</v>
      </c>
      <c r="FT50" t="s">
        <v>356</v>
      </c>
      <c r="FU50" t="s">
        <v>357</v>
      </c>
      <c r="FV50" t="s">
        <v>358</v>
      </c>
      <c r="FW50" t="s">
        <v>358</v>
      </c>
      <c r="FX50" t="s">
        <v>358</v>
      </c>
      <c r="FY50" t="s">
        <v>358</v>
      </c>
      <c r="FZ50">
        <v>0</v>
      </c>
      <c r="GA50">
        <v>100</v>
      </c>
      <c r="GB50">
        <v>100</v>
      </c>
      <c r="GC50">
        <v>1.143</v>
      </c>
      <c r="GD50">
        <v>0.139</v>
      </c>
      <c r="GE50">
        <v>1.466007094330968</v>
      </c>
      <c r="GF50">
        <v>-0.001033730503750798</v>
      </c>
      <c r="GG50">
        <v>9.120241388950126E-07</v>
      </c>
      <c r="GH50">
        <v>-2.246115299815222E-10</v>
      </c>
      <c r="GI50">
        <v>-0.09731380958000713</v>
      </c>
      <c r="GJ50">
        <v>-0.01814858093373864</v>
      </c>
      <c r="GK50">
        <v>0.002091959988359369</v>
      </c>
      <c r="GL50">
        <v>-1.90871700788604E-05</v>
      </c>
      <c r="GM50">
        <v>2</v>
      </c>
      <c r="GN50">
        <v>2210</v>
      </c>
      <c r="GO50">
        <v>1</v>
      </c>
      <c r="GP50">
        <v>26</v>
      </c>
      <c r="GQ50">
        <v>2.4</v>
      </c>
      <c r="GR50">
        <v>2.4</v>
      </c>
      <c r="GS50">
        <v>1.26953</v>
      </c>
      <c r="GT50">
        <v>2.37183</v>
      </c>
      <c r="GU50">
        <v>2.34741</v>
      </c>
      <c r="GV50">
        <v>2.7124</v>
      </c>
      <c r="GW50">
        <v>2.39868</v>
      </c>
      <c r="GX50">
        <v>2.29126</v>
      </c>
      <c r="GY50">
        <v>31.7611</v>
      </c>
      <c r="GZ50">
        <v>15.6381</v>
      </c>
      <c r="HA50">
        <v>18</v>
      </c>
      <c r="HB50">
        <v>-1.96041</v>
      </c>
      <c r="HC50">
        <v>644.846</v>
      </c>
      <c r="HD50">
        <v>25.3815</v>
      </c>
      <c r="HE50">
        <v>24.21</v>
      </c>
      <c r="HF50">
        <v>30.0001</v>
      </c>
      <c r="HG50">
        <v>24.2357</v>
      </c>
      <c r="HH50">
        <v>24.0438</v>
      </c>
      <c r="HI50">
        <v>25.4735</v>
      </c>
      <c r="HJ50">
        <v>26.7093</v>
      </c>
      <c r="HK50">
        <v>76.9492</v>
      </c>
      <c r="HL50">
        <v>-999.9</v>
      </c>
      <c r="HM50">
        <v>405</v>
      </c>
      <c r="HN50">
        <v>17.9394</v>
      </c>
      <c r="HO50">
        <v>100.501</v>
      </c>
      <c r="HP50">
        <v>100.85</v>
      </c>
    </row>
    <row r="51" spans="1:224">
      <c r="A51">
        <v>35</v>
      </c>
      <c r="B51">
        <v>1750962025</v>
      </c>
      <c r="C51">
        <v>4754</v>
      </c>
      <c r="D51" t="s">
        <v>460</v>
      </c>
      <c r="E51" t="s">
        <v>461</v>
      </c>
      <c r="F51">
        <v>15</v>
      </c>
      <c r="G51">
        <v>1750962017</v>
      </c>
      <c r="H51">
        <f>(I51)/1000</f>
        <v>0</v>
      </c>
      <c r="I51">
        <f>IF(BD51, AL51, AF51)</f>
        <v>0</v>
      </c>
      <c r="J51">
        <f>IF(BD51, AG51, AE51)</f>
        <v>0</v>
      </c>
      <c r="K51">
        <f>BF51 - IF(AS51&gt;1, J51*AZ51*100.0/(AU51), 0)</f>
        <v>0</v>
      </c>
      <c r="L51">
        <f>((R51-H51/2)*K51-J51)/(R51+H51/2)</f>
        <v>0</v>
      </c>
      <c r="M51">
        <f>L51*(BM51+BN51)/1000.0</f>
        <v>0</v>
      </c>
      <c r="N51">
        <f>(BF51 - IF(AS51&gt;1, J51*AZ51*100.0/(AU51), 0))*(BM51+BN51)/1000.0</f>
        <v>0</v>
      </c>
      <c r="O51">
        <f>2.0/((1/Q51-1/P51)+SIGN(Q51)*SQRT((1/Q51-1/P51)*(1/Q51-1/P51) + 4*BA51/((BA51+1)*(BA51+1))*(2*1/Q51*1/P51-1/P51*1/P51)))</f>
        <v>0</v>
      </c>
      <c r="P51">
        <f>IF(LEFT(BB51,1)&lt;&gt;"0",IF(LEFT(BB51,1)="1",3.0,BC51),$D$5+$E$5*(BT51*BM51/($K$5*1000))+$F$5*(BT51*BM51/($K$5*1000))*MAX(MIN(AZ51,$J$5),$I$5)*MAX(MIN(AZ51,$J$5),$I$5)+$G$5*MAX(MIN(AZ51,$J$5),$I$5)*(BT51*BM51/($K$5*1000))+$H$5*(BT51*BM51/($K$5*1000))*(BT51*BM51/($K$5*1000)))</f>
        <v>0</v>
      </c>
      <c r="Q51">
        <f>H51*(1000-(1000*0.61365*exp(17.502*U51/(240.97+U51))/(BM51+BN51)+BH51)/2)/(1000*0.61365*exp(17.502*U51/(240.97+U51))/(BM51+BN51)-BH51)</f>
        <v>0</v>
      </c>
      <c r="R51">
        <f>1/((BA51+1)/(O51/1.6)+1/(P51/1.37)) + BA51/((BA51+1)/(O51/1.6) + BA51/(P51/1.37))</f>
        <v>0</v>
      </c>
      <c r="S51">
        <f>(AV51*AY51)</f>
        <v>0</v>
      </c>
      <c r="T51">
        <f>(BO51+(S51+2*0.95*5.67E-8*(((BO51+$B$7)+273)^4-(BO51+273)^4)-44100*H51)/(1.84*29.3*P51+8*0.95*5.67E-8*(BO51+273)^3))</f>
        <v>0</v>
      </c>
      <c r="U51">
        <f>($C$7*BP51+$D$7*BQ51+$E$7*T51)</f>
        <v>0</v>
      </c>
      <c r="V51">
        <f>0.61365*exp(17.502*U51/(240.97+U51))</f>
        <v>0</v>
      </c>
      <c r="W51">
        <f>(X51/Y51*100)</f>
        <v>0</v>
      </c>
      <c r="X51">
        <f>BH51*(BM51+BN51)/1000</f>
        <v>0</v>
      </c>
      <c r="Y51">
        <f>0.61365*exp(17.502*BO51/(240.97+BO51))</f>
        <v>0</v>
      </c>
      <c r="Z51">
        <f>(V51-BH51*(BM51+BN51)/1000)</f>
        <v>0</v>
      </c>
      <c r="AA51">
        <f>(-H51*44100)</f>
        <v>0</v>
      </c>
      <c r="AB51">
        <f>2*29.3*P51*0.92*(BO51-U51)</f>
        <v>0</v>
      </c>
      <c r="AC51">
        <f>2*0.95*5.67E-8*(((BO51+$B$7)+273)^4-(U51+273)^4)</f>
        <v>0</v>
      </c>
      <c r="AD51">
        <f>S51+AC51+AA51+AB51</f>
        <v>0</v>
      </c>
      <c r="AE51">
        <f>BL51*AS51*(BG51-BF51*(1000-AS51*BI51)/(1000-AS51*BH51))/(100*AZ51)</f>
        <v>0</v>
      </c>
      <c r="AF51">
        <f>1000*BL51*AS51*(BH51-BI51)/(100*AZ51*(1000-AS51*BH51))</f>
        <v>0</v>
      </c>
      <c r="AG51">
        <f>(AH51 - AI51 - BM51*1E3/(8.314*(BO51+273.15)) * AK51/BL51 * AJ51) * BL51/(100*AZ51) * (1000 - BI51)/1000</f>
        <v>0</v>
      </c>
      <c r="AH51">
        <v>412.0001016580725</v>
      </c>
      <c r="AI51">
        <v>405.5694969696968</v>
      </c>
      <c r="AJ51">
        <v>-0.001008308163359005</v>
      </c>
      <c r="AK51">
        <v>66.9492508424384</v>
      </c>
      <c r="AL51">
        <f>(AN51 - AM51 + BM51*1E3/(8.314*(BO51+273.15)) * AP51/BL51 * AO51) * BL51/(100*AZ51) * 1000/(1000 - AN51)</f>
        <v>0</v>
      </c>
      <c r="AM51">
        <v>16.91365011396474</v>
      </c>
      <c r="AN51">
        <v>18.34770484848483</v>
      </c>
      <c r="AO51">
        <v>0.0002291855127129077</v>
      </c>
      <c r="AP51">
        <v>79.3597549719736</v>
      </c>
      <c r="AQ51">
        <v>293</v>
      </c>
      <c r="AR51">
        <v>37</v>
      </c>
      <c r="AS51">
        <f>IF(AQ51*$H$13&gt;=AU51,1.0,(AU51/(AU51-AQ51*$H$13)))</f>
        <v>0</v>
      </c>
      <c r="AT51">
        <f>(AS51-1)*100</f>
        <v>0</v>
      </c>
      <c r="AU51">
        <f>MAX(0,($B$13+$C$13*BT51)/(1+$D$13*BT51)*BM51/(BO51+273)*$E$13)</f>
        <v>0</v>
      </c>
      <c r="AV51">
        <f>$B$11*BU51+$C$11*BV51+$F$11*CG51*(1-CJ51)</f>
        <v>0</v>
      </c>
      <c r="AW51">
        <f>AV51*AX51</f>
        <v>0</v>
      </c>
      <c r="AX51">
        <f>($B$11*$D$9+$C$11*$D$9+$F$11*((CT51+CL51)/MAX(CT51+CL51+CU51, 0.1)*$I$9+CU51/MAX(CT51+CL51+CU51, 0.1)*$J$9))/($B$11+$C$11+$F$11)</f>
        <v>0</v>
      </c>
      <c r="AY51">
        <f>($B$11*$K$9+$C$11*$K$9+$F$11*((CT51+CL51)/MAX(CT51+CL51+CU51, 0.1)*$P$9+CU51/MAX(CT51+CL51+CU51, 0.1)*$Q$9))/($B$11+$C$11+$F$11)</f>
        <v>0</v>
      </c>
      <c r="AZ51">
        <v>6</v>
      </c>
      <c r="BA51">
        <v>0.5</v>
      </c>
      <c r="BB51" t="s">
        <v>353</v>
      </c>
      <c r="BC51">
        <v>2</v>
      </c>
      <c r="BD51" t="b">
        <v>0</v>
      </c>
      <c r="BE51">
        <v>1750962017</v>
      </c>
      <c r="BF51">
        <v>398.1930967741936</v>
      </c>
      <c r="BG51">
        <v>404.9967419354838</v>
      </c>
      <c r="BH51">
        <v>18.33177741935484</v>
      </c>
      <c r="BI51">
        <v>16.91341935483871</v>
      </c>
      <c r="BJ51">
        <v>396.9550967741936</v>
      </c>
      <c r="BK51">
        <v>18.17992903225807</v>
      </c>
      <c r="BL51">
        <v>799.9953548387097</v>
      </c>
      <c r="BM51">
        <v>101.1930967741936</v>
      </c>
      <c r="BN51">
        <v>0.09994937419354839</v>
      </c>
      <c r="BO51">
        <v>26.1038870967742</v>
      </c>
      <c r="BP51">
        <v>25.28090967741936</v>
      </c>
      <c r="BQ51">
        <v>999.9000000000003</v>
      </c>
      <c r="BR51">
        <v>0</v>
      </c>
      <c r="BS51">
        <v>0</v>
      </c>
      <c r="BT51">
        <v>10006.19483870968</v>
      </c>
      <c r="BU51">
        <v>0</v>
      </c>
      <c r="BV51">
        <v>0.00152894</v>
      </c>
      <c r="BW51">
        <v>-6.896064838709679</v>
      </c>
      <c r="BX51">
        <v>405.5347741935485</v>
      </c>
      <c r="BY51">
        <v>411.9643548387097</v>
      </c>
      <c r="BZ51">
        <v>1.41836129032258</v>
      </c>
      <c r="CA51">
        <v>404.9967419354838</v>
      </c>
      <c r="CB51">
        <v>16.91341935483871</v>
      </c>
      <c r="CC51">
        <v>1.855048387096774</v>
      </c>
      <c r="CD51">
        <v>1.711521290322581</v>
      </c>
      <c r="CE51">
        <v>16.25852903225806</v>
      </c>
      <c r="CF51">
        <v>15.00131612903226</v>
      </c>
      <c r="CG51">
        <v>1000.002903225806</v>
      </c>
      <c r="CH51">
        <v>0.9600181612903226</v>
      </c>
      <c r="CI51">
        <v>0.03998182258064516</v>
      </c>
      <c r="CJ51">
        <v>0</v>
      </c>
      <c r="CK51">
        <v>1.806935483870967</v>
      </c>
      <c r="CL51">
        <v>0</v>
      </c>
      <c r="CM51">
        <v>8074.697096774192</v>
      </c>
      <c r="CN51">
        <v>7947.000322580646</v>
      </c>
      <c r="CO51">
        <v>36.42522580645161</v>
      </c>
      <c r="CP51">
        <v>40.14896774193548</v>
      </c>
      <c r="CQ51">
        <v>37.91309677419355</v>
      </c>
      <c r="CR51">
        <v>39.0360322580645</v>
      </c>
      <c r="CS51">
        <v>36.85651612903225</v>
      </c>
      <c r="CT51">
        <v>960.0225806451612</v>
      </c>
      <c r="CU51">
        <v>39.98032258064516</v>
      </c>
      <c r="CV51">
        <v>0</v>
      </c>
      <c r="CW51">
        <v>1750962042.5</v>
      </c>
      <c r="CX51">
        <v>0</v>
      </c>
      <c r="CY51">
        <v>1750962042</v>
      </c>
      <c r="CZ51" t="s">
        <v>462</v>
      </c>
      <c r="DA51">
        <v>1750962042</v>
      </c>
      <c r="DB51">
        <v>1750961922.5</v>
      </c>
      <c r="DC51">
        <v>35</v>
      </c>
      <c r="DD51">
        <v>0.095</v>
      </c>
      <c r="DE51">
        <v>0.002</v>
      </c>
      <c r="DF51">
        <v>1.238</v>
      </c>
      <c r="DG51">
        <v>0.139</v>
      </c>
      <c r="DH51">
        <v>405</v>
      </c>
      <c r="DI51">
        <v>18</v>
      </c>
      <c r="DJ51">
        <v>0.17</v>
      </c>
      <c r="DK51">
        <v>0.16</v>
      </c>
      <c r="DL51">
        <v>-6.899027999999999</v>
      </c>
      <c r="DM51">
        <v>0.05913951219513313</v>
      </c>
      <c r="DN51">
        <v>0.02767016093194978</v>
      </c>
      <c r="DO51">
        <v>1</v>
      </c>
      <c r="DP51">
        <v>1.422004</v>
      </c>
      <c r="DQ51">
        <v>0.0004727954971827945</v>
      </c>
      <c r="DR51">
        <v>0.01911817509596562</v>
      </c>
      <c r="DS51">
        <v>1</v>
      </c>
      <c r="DT51">
        <v>2</v>
      </c>
      <c r="DU51">
        <v>2</v>
      </c>
      <c r="DV51" t="s">
        <v>429</v>
      </c>
      <c r="DW51">
        <v>3.44946</v>
      </c>
      <c r="DX51">
        <v>2.78043</v>
      </c>
      <c r="DY51">
        <v>0.0961124</v>
      </c>
      <c r="DZ51">
        <v>0.097534</v>
      </c>
      <c r="EA51">
        <v>0.0983892</v>
      </c>
      <c r="EB51">
        <v>0.09241530000000001</v>
      </c>
      <c r="EC51">
        <v>27229.4</v>
      </c>
      <c r="ED51">
        <v>30956.9</v>
      </c>
      <c r="EE51">
        <v>29261.3</v>
      </c>
      <c r="EF51">
        <v>34890.9</v>
      </c>
      <c r="EG51">
        <v>30521.1</v>
      </c>
      <c r="EH51">
        <v>39312.5</v>
      </c>
      <c r="EI51">
        <v>36036.6</v>
      </c>
      <c r="EJ51">
        <v>46186.7</v>
      </c>
      <c r="EK51">
        <v>2.02752</v>
      </c>
      <c r="EL51">
        <v>2.22605</v>
      </c>
      <c r="EM51">
        <v>0.0698455</v>
      </c>
      <c r="EN51">
        <v>0</v>
      </c>
      <c r="EO51">
        <v>24.1766</v>
      </c>
      <c r="EP51">
        <v>999.9</v>
      </c>
      <c r="EQ51">
        <v>63.5</v>
      </c>
      <c r="ER51">
        <v>27.1</v>
      </c>
      <c r="ES51">
        <v>22.589</v>
      </c>
      <c r="ET51">
        <v>61.6848</v>
      </c>
      <c r="EU51">
        <v>25.9415</v>
      </c>
      <c r="EV51">
        <v>2</v>
      </c>
      <c r="EW51">
        <v>-0.258491</v>
      </c>
      <c r="EX51">
        <v>0</v>
      </c>
      <c r="EY51">
        <v>20.2953</v>
      </c>
      <c r="EZ51">
        <v>5.20741</v>
      </c>
      <c r="FA51">
        <v>11.968</v>
      </c>
      <c r="FB51">
        <v>4.99015</v>
      </c>
      <c r="FC51">
        <v>3.27125</v>
      </c>
      <c r="FD51">
        <v>3204.8</v>
      </c>
      <c r="FE51">
        <v>9999</v>
      </c>
      <c r="FF51">
        <v>9999</v>
      </c>
      <c r="FG51">
        <v>999.9</v>
      </c>
      <c r="FH51">
        <v>4.97265</v>
      </c>
      <c r="FI51">
        <v>1.86279</v>
      </c>
      <c r="FJ51">
        <v>1.86462</v>
      </c>
      <c r="FK51">
        <v>1.86302</v>
      </c>
      <c r="FL51">
        <v>1.86302</v>
      </c>
      <c r="FM51">
        <v>1.86356</v>
      </c>
      <c r="FN51">
        <v>1.86005</v>
      </c>
      <c r="FO51">
        <v>1.86292</v>
      </c>
      <c r="FP51">
        <v>0</v>
      </c>
      <c r="FQ51">
        <v>0</v>
      </c>
      <c r="FR51">
        <v>0</v>
      </c>
      <c r="FS51">
        <v>0</v>
      </c>
      <c r="FT51" t="s">
        <v>356</v>
      </c>
      <c r="FU51" t="s">
        <v>357</v>
      </c>
      <c r="FV51" t="s">
        <v>358</v>
      </c>
      <c r="FW51" t="s">
        <v>358</v>
      </c>
      <c r="FX51" t="s">
        <v>358</v>
      </c>
      <c r="FY51" t="s">
        <v>358</v>
      </c>
      <c r="FZ51">
        <v>0</v>
      </c>
      <c r="GA51">
        <v>100</v>
      </c>
      <c r="GB51">
        <v>100</v>
      </c>
      <c r="GC51">
        <v>1.238</v>
      </c>
      <c r="GD51">
        <v>0.1525</v>
      </c>
      <c r="GE51">
        <v>1.426152218762817</v>
      </c>
      <c r="GF51">
        <v>-0.001033730503750798</v>
      </c>
      <c r="GG51">
        <v>9.120241388950126E-07</v>
      </c>
      <c r="GH51">
        <v>-2.246115299815222E-10</v>
      </c>
      <c r="GI51">
        <v>-0.09492967932025378</v>
      </c>
      <c r="GJ51">
        <v>-0.01814858093373864</v>
      </c>
      <c r="GK51">
        <v>0.002091959988359369</v>
      </c>
      <c r="GL51">
        <v>-1.90871700788604E-05</v>
      </c>
      <c r="GM51">
        <v>2</v>
      </c>
      <c r="GN51">
        <v>2210</v>
      </c>
      <c r="GO51">
        <v>1</v>
      </c>
      <c r="GP51">
        <v>26</v>
      </c>
      <c r="GQ51">
        <v>1.7</v>
      </c>
      <c r="GR51">
        <v>1.7</v>
      </c>
      <c r="GS51">
        <v>1.26953</v>
      </c>
      <c r="GT51">
        <v>2.36938</v>
      </c>
      <c r="GU51">
        <v>2.34741</v>
      </c>
      <c r="GV51">
        <v>2.71118</v>
      </c>
      <c r="GW51">
        <v>2.39868</v>
      </c>
      <c r="GX51">
        <v>2.2998</v>
      </c>
      <c r="GY51">
        <v>31.8269</v>
      </c>
      <c r="GZ51">
        <v>15.6293</v>
      </c>
      <c r="HA51">
        <v>18</v>
      </c>
      <c r="HB51">
        <v>472.692</v>
      </c>
      <c r="HC51">
        <v>642.287</v>
      </c>
      <c r="HD51">
        <v>25.3754</v>
      </c>
      <c r="HE51">
        <v>24.2384</v>
      </c>
      <c r="HF51">
        <v>30.0003</v>
      </c>
      <c r="HG51">
        <v>24.1093</v>
      </c>
      <c r="HH51">
        <v>24.0603</v>
      </c>
      <c r="HI51">
        <v>25.4506</v>
      </c>
      <c r="HJ51">
        <v>30.5434</v>
      </c>
      <c r="HK51">
        <v>75.7881</v>
      </c>
      <c r="HL51">
        <v>-999.9</v>
      </c>
      <c r="HM51">
        <v>405</v>
      </c>
      <c r="HN51">
        <v>16.973</v>
      </c>
      <c r="HO51">
        <v>100.491</v>
      </c>
      <c r="HP51">
        <v>100.848</v>
      </c>
    </row>
    <row r="52" spans="1:224">
      <c r="A52">
        <v>36</v>
      </c>
      <c r="B52">
        <v>1750962146.5</v>
      </c>
      <c r="C52">
        <v>4875.5</v>
      </c>
      <c r="D52" t="s">
        <v>463</v>
      </c>
      <c r="E52" t="s">
        <v>464</v>
      </c>
      <c r="F52">
        <v>15</v>
      </c>
      <c r="G52">
        <v>1750962138.75</v>
      </c>
      <c r="H52">
        <f>(I52)/1000</f>
        <v>0</v>
      </c>
      <c r="I52">
        <f>IF(BD52, AL52, AF52)</f>
        <v>0</v>
      </c>
      <c r="J52">
        <f>IF(BD52, AG52, AE52)</f>
        <v>0</v>
      </c>
      <c r="K52">
        <f>BF52 - IF(AS52&gt;1, J52*AZ52*100.0/(AU52), 0)</f>
        <v>0</v>
      </c>
      <c r="L52">
        <f>((R52-H52/2)*K52-J52)/(R52+H52/2)</f>
        <v>0</v>
      </c>
      <c r="M52">
        <f>L52*(BM52+BN52)/1000.0</f>
        <v>0</v>
      </c>
      <c r="N52">
        <f>(BF52 - IF(AS52&gt;1, J52*AZ52*100.0/(AU52), 0))*(BM52+BN52)/1000.0</f>
        <v>0</v>
      </c>
      <c r="O52">
        <f>2.0/((1/Q52-1/P52)+SIGN(Q52)*SQRT((1/Q52-1/P52)*(1/Q52-1/P52) + 4*BA52/((BA52+1)*(BA52+1))*(2*1/Q52*1/P52-1/P52*1/P52)))</f>
        <v>0</v>
      </c>
      <c r="P52">
        <f>IF(LEFT(BB52,1)&lt;&gt;"0",IF(LEFT(BB52,1)="1",3.0,BC52),$D$5+$E$5*(BT52*BM52/($K$5*1000))+$F$5*(BT52*BM52/($K$5*1000))*MAX(MIN(AZ52,$J$5),$I$5)*MAX(MIN(AZ52,$J$5),$I$5)+$G$5*MAX(MIN(AZ52,$J$5),$I$5)*(BT52*BM52/($K$5*1000))+$H$5*(BT52*BM52/($K$5*1000))*(BT52*BM52/($K$5*1000)))</f>
        <v>0</v>
      </c>
      <c r="Q52">
        <f>H52*(1000-(1000*0.61365*exp(17.502*U52/(240.97+U52))/(BM52+BN52)+BH52)/2)/(1000*0.61365*exp(17.502*U52/(240.97+U52))/(BM52+BN52)-BH52)</f>
        <v>0</v>
      </c>
      <c r="R52">
        <f>1/((BA52+1)/(O52/1.6)+1/(P52/1.37)) + BA52/((BA52+1)/(O52/1.6) + BA52/(P52/1.37))</f>
        <v>0</v>
      </c>
      <c r="S52">
        <f>(AV52*AY52)</f>
        <v>0</v>
      </c>
      <c r="T52">
        <f>(BO52+(S52+2*0.95*5.67E-8*(((BO52+$B$7)+273)^4-(BO52+273)^4)-44100*H52)/(1.84*29.3*P52+8*0.95*5.67E-8*(BO52+273)^3))</f>
        <v>0</v>
      </c>
      <c r="U52">
        <f>($C$7*BP52+$D$7*BQ52+$E$7*T52)</f>
        <v>0</v>
      </c>
      <c r="V52">
        <f>0.61365*exp(17.502*U52/(240.97+U52))</f>
        <v>0</v>
      </c>
      <c r="W52">
        <f>(X52/Y52*100)</f>
        <v>0</v>
      </c>
      <c r="X52">
        <f>BH52*(BM52+BN52)/1000</f>
        <v>0</v>
      </c>
      <c r="Y52">
        <f>0.61365*exp(17.502*BO52/(240.97+BO52))</f>
        <v>0</v>
      </c>
      <c r="Z52">
        <f>(V52-BH52*(BM52+BN52)/1000)</f>
        <v>0</v>
      </c>
      <c r="AA52">
        <f>(-H52*44100)</f>
        <v>0</v>
      </c>
      <c r="AB52">
        <f>2*29.3*P52*0.92*(BO52-U52)</f>
        <v>0</v>
      </c>
      <c r="AC52">
        <f>2*0.95*5.67E-8*(((BO52+$B$7)+273)^4-(U52+273)^4)</f>
        <v>0</v>
      </c>
      <c r="AD52">
        <f>S52+AC52+AA52+AB52</f>
        <v>0</v>
      </c>
      <c r="AE52">
        <f>BL52*AS52*(BG52-BF52*(1000-AS52*BI52)/(1000-AS52*BH52))/(100*AZ52)</f>
        <v>0</v>
      </c>
      <c r="AF52">
        <f>1000*BL52*AS52*(BH52-BI52)/(100*AZ52*(1000-AS52*BH52))</f>
        <v>0</v>
      </c>
      <c r="AG52">
        <f>(AH52 - AI52 - BM52*1E3/(8.314*(BO52+273.15)) * AK52/BL52 * AJ52) * BL52/(100*AZ52) * (1000 - BI52)/1000</f>
        <v>0</v>
      </c>
      <c r="AH52">
        <v>412.3530767928947</v>
      </c>
      <c r="AI52">
        <v>408.7081090909091</v>
      </c>
      <c r="AJ52">
        <v>0.02840880063440529</v>
      </c>
      <c r="AK52">
        <v>66.94650721111294</v>
      </c>
      <c r="AL52">
        <f>(AN52 - AM52 + BM52*1E3/(8.314*(BO52+273.15)) * AP52/BL52 * AO52) * BL52/(100*AZ52) * 1000/(1000 - AN52)</f>
        <v>0</v>
      </c>
      <c r="AM52">
        <v>17.82799151940959</v>
      </c>
      <c r="AN52">
        <v>18.48523212121212</v>
      </c>
      <c r="AO52">
        <v>0.0004290869750015932</v>
      </c>
      <c r="AP52">
        <v>79.50968221450414</v>
      </c>
      <c r="AQ52">
        <v>6</v>
      </c>
      <c r="AR52">
        <v>1</v>
      </c>
      <c r="AS52">
        <f>IF(AQ52*$H$13&gt;=AU52,1.0,(AU52/(AU52-AQ52*$H$13)))</f>
        <v>0</v>
      </c>
      <c r="AT52">
        <f>(AS52-1)*100</f>
        <v>0</v>
      </c>
      <c r="AU52">
        <f>MAX(0,($B$13+$C$13*BT52)/(1+$D$13*BT52)*BM52/(BO52+273)*$E$13)</f>
        <v>0</v>
      </c>
      <c r="AV52">
        <f>$B$11*BU52+$C$11*BV52+$F$11*CG52*(1-CJ52)</f>
        <v>0</v>
      </c>
      <c r="AW52">
        <f>AV52*AX52</f>
        <v>0</v>
      </c>
      <c r="AX52">
        <f>($B$11*$D$9+$C$11*$D$9+$F$11*((CT52+CL52)/MAX(CT52+CL52+CU52, 0.1)*$I$9+CU52/MAX(CT52+CL52+CU52, 0.1)*$J$9))/($B$11+$C$11+$F$11)</f>
        <v>0</v>
      </c>
      <c r="AY52">
        <f>($B$11*$K$9+$C$11*$K$9+$F$11*((CT52+CL52)/MAX(CT52+CL52+CU52, 0.1)*$P$9+CU52/MAX(CT52+CL52+CU52, 0.1)*$Q$9))/($B$11+$C$11+$F$11)</f>
        <v>0</v>
      </c>
      <c r="AZ52">
        <v>6</v>
      </c>
      <c r="BA52">
        <v>0.5</v>
      </c>
      <c r="BB52" t="s">
        <v>353</v>
      </c>
      <c r="BC52">
        <v>2</v>
      </c>
      <c r="BD52" t="b">
        <v>0</v>
      </c>
      <c r="BE52">
        <v>1750962138.75</v>
      </c>
      <c r="BF52">
        <v>401.0957666666667</v>
      </c>
      <c r="BG52">
        <v>404.9852666666667</v>
      </c>
      <c r="BH52">
        <v>18.44147333333333</v>
      </c>
      <c r="BI52">
        <v>17.8285</v>
      </c>
      <c r="BJ52">
        <v>399.9007666666667</v>
      </c>
      <c r="BK52">
        <v>18.30747333333333</v>
      </c>
      <c r="BL52">
        <v>799.9844999999999</v>
      </c>
      <c r="BM52">
        <v>101.1933333333333</v>
      </c>
      <c r="BN52">
        <v>0.09992698</v>
      </c>
      <c r="BO52">
        <v>26.23071333333333</v>
      </c>
      <c r="BP52">
        <v>25.43696666666667</v>
      </c>
      <c r="BQ52">
        <v>999.9000000000002</v>
      </c>
      <c r="BR52">
        <v>0</v>
      </c>
      <c r="BS52">
        <v>0</v>
      </c>
      <c r="BT52">
        <v>9993.682333333334</v>
      </c>
      <c r="BU52">
        <v>0</v>
      </c>
      <c r="BV52">
        <v>0.00152894</v>
      </c>
      <c r="BW52">
        <v>-3.845192333333333</v>
      </c>
      <c r="BX52">
        <v>408.6862333333333</v>
      </c>
      <c r="BY52">
        <v>412.3366999999999</v>
      </c>
      <c r="BZ52">
        <v>0.6358152333333333</v>
      </c>
      <c r="CA52">
        <v>404.9852666666667</v>
      </c>
      <c r="CB52">
        <v>17.8285</v>
      </c>
      <c r="CC52">
        <v>1.868464</v>
      </c>
      <c r="CD52">
        <v>1.804124333333333</v>
      </c>
      <c r="CE52">
        <v>16.37162333333334</v>
      </c>
      <c r="CF52">
        <v>15.82256666666667</v>
      </c>
      <c r="CG52">
        <v>999.9967333333333</v>
      </c>
      <c r="CH52">
        <v>0.9599888999999998</v>
      </c>
      <c r="CI52">
        <v>0.04001134999999999</v>
      </c>
      <c r="CJ52">
        <v>0</v>
      </c>
      <c r="CK52">
        <v>1.531333333333333</v>
      </c>
      <c r="CL52">
        <v>0</v>
      </c>
      <c r="CM52">
        <v>4251.827666666667</v>
      </c>
      <c r="CN52">
        <v>7946.849333333333</v>
      </c>
      <c r="CO52">
        <v>37.76426666666666</v>
      </c>
      <c r="CP52">
        <v>41.84769999999999</v>
      </c>
      <c r="CQ52">
        <v>39.30816666666666</v>
      </c>
      <c r="CR52">
        <v>41.12466666666665</v>
      </c>
      <c r="CS52">
        <v>38.13309999999999</v>
      </c>
      <c r="CT52">
        <v>959.986</v>
      </c>
      <c r="CU52">
        <v>40.01</v>
      </c>
      <c r="CV52">
        <v>0</v>
      </c>
      <c r="CW52">
        <v>1750962163.7</v>
      </c>
      <c r="CX52">
        <v>0</v>
      </c>
      <c r="CY52">
        <v>1750962170</v>
      </c>
      <c r="CZ52" t="s">
        <v>465</v>
      </c>
      <c r="DA52">
        <v>1750962170</v>
      </c>
      <c r="DB52">
        <v>1750962165</v>
      </c>
      <c r="DC52">
        <v>36</v>
      </c>
      <c r="DD52">
        <v>-0.042</v>
      </c>
      <c r="DE52">
        <v>-0</v>
      </c>
      <c r="DF52">
        <v>1.195</v>
      </c>
      <c r="DG52">
        <v>0.134</v>
      </c>
      <c r="DH52">
        <v>405</v>
      </c>
      <c r="DI52">
        <v>18</v>
      </c>
      <c r="DJ52">
        <v>0.27</v>
      </c>
      <c r="DK52">
        <v>0.11</v>
      </c>
      <c r="DL52">
        <v>-3.8317325</v>
      </c>
      <c r="DM52">
        <v>-0.3161921200750363</v>
      </c>
      <c r="DN52">
        <v>0.04294815658151117</v>
      </c>
      <c r="DO52">
        <v>0</v>
      </c>
      <c r="DP52">
        <v>0.631188325</v>
      </c>
      <c r="DQ52">
        <v>0.1392454446529071</v>
      </c>
      <c r="DR52">
        <v>0.01576891458754771</v>
      </c>
      <c r="DS52">
        <v>0</v>
      </c>
      <c r="DT52">
        <v>0</v>
      </c>
      <c r="DU52">
        <v>2</v>
      </c>
      <c r="DV52" t="s">
        <v>362</v>
      </c>
      <c r="DW52">
        <v>3.44993</v>
      </c>
      <c r="DX52">
        <v>2.78093</v>
      </c>
      <c r="DY52">
        <v>0.0966476</v>
      </c>
      <c r="DZ52">
        <v>0.0975314</v>
      </c>
      <c r="EA52">
        <v>0.0989028</v>
      </c>
      <c r="EB52">
        <v>0.09595480000000001</v>
      </c>
      <c r="EC52">
        <v>27210.7</v>
      </c>
      <c r="ED52">
        <v>30953.9</v>
      </c>
      <c r="EE52">
        <v>29258.6</v>
      </c>
      <c r="EF52">
        <v>34887.7</v>
      </c>
      <c r="EG52">
        <v>30500.7</v>
      </c>
      <c r="EH52">
        <v>39155.6</v>
      </c>
      <c r="EI52">
        <v>36033.1</v>
      </c>
      <c r="EJ52">
        <v>46182.7</v>
      </c>
      <c r="EK52">
        <v>2.50605</v>
      </c>
      <c r="EL52">
        <v>2.22675</v>
      </c>
      <c r="EM52">
        <v>0.067994</v>
      </c>
      <c r="EN52">
        <v>0</v>
      </c>
      <c r="EO52">
        <v>24.3857</v>
      </c>
      <c r="EP52">
        <v>999.9</v>
      </c>
      <c r="EQ52">
        <v>63.5</v>
      </c>
      <c r="ER52">
        <v>27.2</v>
      </c>
      <c r="ES52">
        <v>22.7242</v>
      </c>
      <c r="ET52">
        <v>61.8548</v>
      </c>
      <c r="EU52">
        <v>25.9014</v>
      </c>
      <c r="EV52">
        <v>2</v>
      </c>
      <c r="EW52">
        <v>-0.254799</v>
      </c>
      <c r="EX52">
        <v>0</v>
      </c>
      <c r="EY52">
        <v>20.2959</v>
      </c>
      <c r="EZ52">
        <v>5.2122</v>
      </c>
      <c r="FA52">
        <v>11.968</v>
      </c>
      <c r="FB52">
        <v>4.9911</v>
      </c>
      <c r="FC52">
        <v>3.272</v>
      </c>
      <c r="FD52">
        <v>3208.3</v>
      </c>
      <c r="FE52">
        <v>9999</v>
      </c>
      <c r="FF52">
        <v>9999</v>
      </c>
      <c r="FG52">
        <v>999.9</v>
      </c>
      <c r="FH52">
        <v>4.97263</v>
      </c>
      <c r="FI52">
        <v>1.86279</v>
      </c>
      <c r="FJ52">
        <v>1.86462</v>
      </c>
      <c r="FK52">
        <v>1.86307</v>
      </c>
      <c r="FL52">
        <v>1.86307</v>
      </c>
      <c r="FM52">
        <v>1.86357</v>
      </c>
      <c r="FN52">
        <v>1.86006</v>
      </c>
      <c r="FO52">
        <v>1.86293</v>
      </c>
      <c r="FP52">
        <v>0</v>
      </c>
      <c r="FQ52">
        <v>0</v>
      </c>
      <c r="FR52">
        <v>0</v>
      </c>
      <c r="FS52">
        <v>0</v>
      </c>
      <c r="FT52" t="s">
        <v>356</v>
      </c>
      <c r="FU52" t="s">
        <v>357</v>
      </c>
      <c r="FV52" t="s">
        <v>358</v>
      </c>
      <c r="FW52" t="s">
        <v>358</v>
      </c>
      <c r="FX52" t="s">
        <v>358</v>
      </c>
      <c r="FY52" t="s">
        <v>358</v>
      </c>
      <c r="FZ52">
        <v>0</v>
      </c>
      <c r="GA52">
        <v>100</v>
      </c>
      <c r="GB52">
        <v>100</v>
      </c>
      <c r="GC52">
        <v>1.195</v>
      </c>
      <c r="GD52">
        <v>0.134</v>
      </c>
      <c r="GE52">
        <v>1.521241913836142</v>
      </c>
      <c r="GF52">
        <v>-0.001033730503750798</v>
      </c>
      <c r="GG52">
        <v>9.120241388950126E-07</v>
      </c>
      <c r="GH52">
        <v>-2.246115299815222E-10</v>
      </c>
      <c r="GI52">
        <v>-0.09492967932025378</v>
      </c>
      <c r="GJ52">
        <v>-0.01814858093373864</v>
      </c>
      <c r="GK52">
        <v>0.002091959988359369</v>
      </c>
      <c r="GL52">
        <v>-1.90871700788604E-05</v>
      </c>
      <c r="GM52">
        <v>2</v>
      </c>
      <c r="GN52">
        <v>2210</v>
      </c>
      <c r="GO52">
        <v>1</v>
      </c>
      <c r="GP52">
        <v>26</v>
      </c>
      <c r="GQ52">
        <v>1.7</v>
      </c>
      <c r="GR52">
        <v>3.7</v>
      </c>
      <c r="GS52">
        <v>1.26953</v>
      </c>
      <c r="GT52">
        <v>2.37793</v>
      </c>
      <c r="GU52">
        <v>2.34741</v>
      </c>
      <c r="GV52">
        <v>2.71851</v>
      </c>
      <c r="GW52">
        <v>2.39868</v>
      </c>
      <c r="GX52">
        <v>2.26074</v>
      </c>
      <c r="GY52">
        <v>31.9805</v>
      </c>
      <c r="GZ52">
        <v>15.603</v>
      </c>
      <c r="HA52">
        <v>18</v>
      </c>
      <c r="HB52">
        <v>808.869</v>
      </c>
      <c r="HC52">
        <v>643.313</v>
      </c>
      <c r="HD52">
        <v>25.4388</v>
      </c>
      <c r="HE52">
        <v>24.2973</v>
      </c>
      <c r="HF52">
        <v>30.0002</v>
      </c>
      <c r="HG52">
        <v>24.1414</v>
      </c>
      <c r="HH52">
        <v>24.0986</v>
      </c>
      <c r="HI52">
        <v>25.469</v>
      </c>
      <c r="HJ52">
        <v>27.3159</v>
      </c>
      <c r="HK52">
        <v>74.67489999999999</v>
      </c>
      <c r="HL52">
        <v>-999.9</v>
      </c>
      <c r="HM52">
        <v>405</v>
      </c>
      <c r="HN52">
        <v>17.8855</v>
      </c>
      <c r="HO52">
        <v>100.482</v>
      </c>
      <c r="HP52">
        <v>100.839</v>
      </c>
    </row>
    <row r="53" spans="1:224">
      <c r="A53">
        <v>37</v>
      </c>
      <c r="B53">
        <v>1750962267.5</v>
      </c>
      <c r="C53">
        <v>4996.5</v>
      </c>
      <c r="D53" t="s">
        <v>466</v>
      </c>
      <c r="E53" t="s">
        <v>467</v>
      </c>
      <c r="F53">
        <v>15</v>
      </c>
      <c r="G53">
        <v>1750962259.75</v>
      </c>
      <c r="H53">
        <f>(I53)/1000</f>
        <v>0</v>
      </c>
      <c r="I53">
        <f>IF(BD53, AL53, AF53)</f>
        <v>0</v>
      </c>
      <c r="J53">
        <f>IF(BD53, AG53, AE53)</f>
        <v>0</v>
      </c>
      <c r="K53">
        <f>BF53 - IF(AS53&gt;1, J53*AZ53*100.0/(AU53), 0)</f>
        <v>0</v>
      </c>
      <c r="L53">
        <f>((R53-H53/2)*K53-J53)/(R53+H53/2)</f>
        <v>0</v>
      </c>
      <c r="M53">
        <f>L53*(BM53+BN53)/1000.0</f>
        <v>0</v>
      </c>
      <c r="N53">
        <f>(BF53 - IF(AS53&gt;1, J53*AZ53*100.0/(AU53), 0))*(BM53+BN53)/1000.0</f>
        <v>0</v>
      </c>
      <c r="O53">
        <f>2.0/((1/Q53-1/P53)+SIGN(Q53)*SQRT((1/Q53-1/P53)*(1/Q53-1/P53) + 4*BA53/((BA53+1)*(BA53+1))*(2*1/Q53*1/P53-1/P53*1/P53)))</f>
        <v>0</v>
      </c>
      <c r="P53">
        <f>IF(LEFT(BB53,1)&lt;&gt;"0",IF(LEFT(BB53,1)="1",3.0,BC53),$D$5+$E$5*(BT53*BM53/($K$5*1000))+$F$5*(BT53*BM53/($K$5*1000))*MAX(MIN(AZ53,$J$5),$I$5)*MAX(MIN(AZ53,$J$5),$I$5)+$G$5*MAX(MIN(AZ53,$J$5),$I$5)*(BT53*BM53/($K$5*1000))+$H$5*(BT53*BM53/($K$5*1000))*(BT53*BM53/($K$5*1000)))</f>
        <v>0</v>
      </c>
      <c r="Q53">
        <f>H53*(1000-(1000*0.61365*exp(17.502*U53/(240.97+U53))/(BM53+BN53)+BH53)/2)/(1000*0.61365*exp(17.502*U53/(240.97+U53))/(BM53+BN53)-BH53)</f>
        <v>0</v>
      </c>
      <c r="R53">
        <f>1/((BA53+1)/(O53/1.6)+1/(P53/1.37)) + BA53/((BA53+1)/(O53/1.6) + BA53/(P53/1.37))</f>
        <v>0</v>
      </c>
      <c r="S53">
        <f>(AV53*AY53)</f>
        <v>0</v>
      </c>
      <c r="T53">
        <f>(BO53+(S53+2*0.95*5.67E-8*(((BO53+$B$7)+273)^4-(BO53+273)^4)-44100*H53)/(1.84*29.3*P53+8*0.95*5.67E-8*(BO53+273)^3))</f>
        <v>0</v>
      </c>
      <c r="U53">
        <f>($C$7*BP53+$D$7*BQ53+$E$7*T53)</f>
        <v>0</v>
      </c>
      <c r="V53">
        <f>0.61365*exp(17.502*U53/(240.97+U53))</f>
        <v>0</v>
      </c>
      <c r="W53">
        <f>(X53/Y53*100)</f>
        <v>0</v>
      </c>
      <c r="X53">
        <f>BH53*(BM53+BN53)/1000</f>
        <v>0</v>
      </c>
      <c r="Y53">
        <f>0.61365*exp(17.502*BO53/(240.97+BO53))</f>
        <v>0</v>
      </c>
      <c r="Z53">
        <f>(V53-BH53*(BM53+BN53)/1000)</f>
        <v>0</v>
      </c>
      <c r="AA53">
        <f>(-H53*44100)</f>
        <v>0</v>
      </c>
      <c r="AB53">
        <f>2*29.3*P53*0.92*(BO53-U53)</f>
        <v>0</v>
      </c>
      <c r="AC53">
        <f>2*0.95*5.67E-8*(((BO53+$B$7)+273)^4-(U53+273)^4)</f>
        <v>0</v>
      </c>
      <c r="AD53">
        <f>S53+AC53+AA53+AB53</f>
        <v>0</v>
      </c>
      <c r="AE53">
        <f>BL53*AS53*(BG53-BF53*(1000-AS53*BI53)/(1000-AS53*BH53))/(100*AZ53)</f>
        <v>0</v>
      </c>
      <c r="AF53">
        <f>1000*BL53*AS53*(BH53-BI53)/(100*AZ53*(1000-AS53*BH53))</f>
        <v>0</v>
      </c>
      <c r="AG53">
        <f>(AH53 - AI53 - BM53*1E3/(8.314*(BO53+273.15)) * AK53/BL53 * AJ53) * BL53/(100*AZ53) * (1000 - BI53)/1000</f>
        <v>0</v>
      </c>
      <c r="AH53">
        <v>412.0416052436653</v>
      </c>
      <c r="AI53">
        <v>407.5573030303028</v>
      </c>
      <c r="AJ53">
        <v>-0.0009900711367637112</v>
      </c>
      <c r="AK53">
        <v>66.94682093104859</v>
      </c>
      <c r="AL53">
        <f>(AN53 - AM53 + BM53*1E3/(8.314*(BO53+273.15)) * AP53/BL53 * AO53) * BL53/(100*AZ53) * 1000/(1000 - AN53)</f>
        <v>0</v>
      </c>
      <c r="AM53">
        <v>17.15561046171246</v>
      </c>
      <c r="AN53">
        <v>18.57018848484847</v>
      </c>
      <c r="AO53">
        <v>-0.0001990896007019179</v>
      </c>
      <c r="AP53">
        <v>79.50333790879932</v>
      </c>
      <c r="AQ53">
        <v>0</v>
      </c>
      <c r="AR53">
        <v>0</v>
      </c>
      <c r="AS53">
        <f>IF(AQ53*$H$13&gt;=AU53,1.0,(AU53/(AU53-AQ53*$H$13)))</f>
        <v>0</v>
      </c>
      <c r="AT53">
        <f>(AS53-1)*100</f>
        <v>0</v>
      </c>
      <c r="AU53">
        <f>MAX(0,($B$13+$C$13*BT53)/(1+$D$13*BT53)*BM53/(BO53+273)*$E$13)</f>
        <v>0</v>
      </c>
      <c r="AV53">
        <f>$B$11*BU53+$C$11*BV53+$F$11*CG53*(1-CJ53)</f>
        <v>0</v>
      </c>
      <c r="AW53">
        <f>AV53*AX53</f>
        <v>0</v>
      </c>
      <c r="AX53">
        <f>($B$11*$D$9+$C$11*$D$9+$F$11*((CT53+CL53)/MAX(CT53+CL53+CU53, 0.1)*$I$9+CU53/MAX(CT53+CL53+CU53, 0.1)*$J$9))/($B$11+$C$11+$F$11)</f>
        <v>0</v>
      </c>
      <c r="AY53">
        <f>($B$11*$K$9+$C$11*$K$9+$F$11*((CT53+CL53)/MAX(CT53+CL53+CU53, 0.1)*$P$9+CU53/MAX(CT53+CL53+CU53, 0.1)*$Q$9))/($B$11+$C$11+$F$11)</f>
        <v>0</v>
      </c>
      <c r="AZ53">
        <v>6</v>
      </c>
      <c r="BA53">
        <v>0.5</v>
      </c>
      <c r="BB53" t="s">
        <v>353</v>
      </c>
      <c r="BC53">
        <v>2</v>
      </c>
      <c r="BD53" t="b">
        <v>0</v>
      </c>
      <c r="BE53">
        <v>1750962259.75</v>
      </c>
      <c r="BF53">
        <v>400.0674999999999</v>
      </c>
      <c r="BG53">
        <v>405.0245666666666</v>
      </c>
      <c r="BH53">
        <v>18.57941</v>
      </c>
      <c r="BI53">
        <v>17.16169666666666</v>
      </c>
      <c r="BJ53">
        <v>398.8444999999999</v>
      </c>
      <c r="BK53">
        <v>18.41838666666667</v>
      </c>
      <c r="BL53">
        <v>800.0071333333333</v>
      </c>
      <c r="BM53">
        <v>101.1916</v>
      </c>
      <c r="BN53">
        <v>0.10010574</v>
      </c>
      <c r="BO53">
        <v>26.27833666666666</v>
      </c>
      <c r="BP53">
        <v>26.06146333333334</v>
      </c>
      <c r="BQ53">
        <v>999.9000000000002</v>
      </c>
      <c r="BR53">
        <v>0</v>
      </c>
      <c r="BS53">
        <v>0</v>
      </c>
      <c r="BT53">
        <v>9992.514666666666</v>
      </c>
      <c r="BU53">
        <v>0</v>
      </c>
      <c r="BV53">
        <v>0.00152894</v>
      </c>
      <c r="BW53">
        <v>-4.982659666666667</v>
      </c>
      <c r="BX53">
        <v>407.6151333333333</v>
      </c>
      <c r="BY53">
        <v>412.0967333333334</v>
      </c>
      <c r="BZ53">
        <v>1.417710333333333</v>
      </c>
      <c r="CA53">
        <v>405.0245666666666</v>
      </c>
      <c r="CB53">
        <v>17.16169666666666</v>
      </c>
      <c r="CC53">
        <v>1.880079333333333</v>
      </c>
      <c r="CD53">
        <v>1.736619666666667</v>
      </c>
      <c r="CE53">
        <v>16.46898</v>
      </c>
      <c r="CF53">
        <v>15.22767666666667</v>
      </c>
      <c r="CG53">
        <v>1000.0029</v>
      </c>
      <c r="CH53">
        <v>0.9600014000000001</v>
      </c>
      <c r="CI53">
        <v>0.03999851333333335</v>
      </c>
      <c r="CJ53">
        <v>0</v>
      </c>
      <c r="CK53">
        <v>2.061500000000001</v>
      </c>
      <c r="CL53">
        <v>0</v>
      </c>
      <c r="CM53">
        <v>5786.751666666666</v>
      </c>
      <c r="CN53">
        <v>7946.940000000001</v>
      </c>
      <c r="CO53">
        <v>36.26846666666666</v>
      </c>
      <c r="CP53">
        <v>39.04559999999999</v>
      </c>
      <c r="CQ53">
        <v>37.62893333333333</v>
      </c>
      <c r="CR53">
        <v>38.13513333333333</v>
      </c>
      <c r="CS53">
        <v>36.66853333333332</v>
      </c>
      <c r="CT53">
        <v>960.0046666666668</v>
      </c>
      <c r="CU53">
        <v>39.99866666666667</v>
      </c>
      <c r="CV53">
        <v>0</v>
      </c>
      <c r="CW53">
        <v>1750962284.9</v>
      </c>
      <c r="CX53">
        <v>0</v>
      </c>
      <c r="CY53">
        <v>1750962284.5</v>
      </c>
      <c r="CZ53" t="s">
        <v>468</v>
      </c>
      <c r="DA53">
        <v>1750962284.5</v>
      </c>
      <c r="DB53">
        <v>1750962165</v>
      </c>
      <c r="DC53">
        <v>37</v>
      </c>
      <c r="DD53">
        <v>0.028</v>
      </c>
      <c r="DE53">
        <v>-0</v>
      </c>
      <c r="DF53">
        <v>1.223</v>
      </c>
      <c r="DG53">
        <v>0.134</v>
      </c>
      <c r="DH53">
        <v>405</v>
      </c>
      <c r="DI53">
        <v>18</v>
      </c>
      <c r="DJ53">
        <v>0.38</v>
      </c>
      <c r="DK53">
        <v>0.11</v>
      </c>
      <c r="DL53">
        <v>-4.959069024390244</v>
      </c>
      <c r="DM53">
        <v>-0.353680766550523</v>
      </c>
      <c r="DN53">
        <v>0.04657181408685797</v>
      </c>
      <c r="DO53">
        <v>0</v>
      </c>
      <c r="DP53">
        <v>1.426582195121951</v>
      </c>
      <c r="DQ53">
        <v>-0.1403692682926832</v>
      </c>
      <c r="DR53">
        <v>0.01590657702783397</v>
      </c>
      <c r="DS53">
        <v>0</v>
      </c>
      <c r="DT53">
        <v>0</v>
      </c>
      <c r="DU53">
        <v>2</v>
      </c>
      <c r="DV53" t="s">
        <v>362</v>
      </c>
      <c r="DW53">
        <v>3.44954</v>
      </c>
      <c r="DX53">
        <v>2.78091</v>
      </c>
      <c r="DY53">
        <v>0.0964319</v>
      </c>
      <c r="DZ53">
        <v>0.0975028</v>
      </c>
      <c r="EA53">
        <v>0.0992107</v>
      </c>
      <c r="EB53">
        <v>0.0933312</v>
      </c>
      <c r="EC53">
        <v>27216.9</v>
      </c>
      <c r="ED53">
        <v>30953.7</v>
      </c>
      <c r="EE53">
        <v>29258.4</v>
      </c>
      <c r="EF53">
        <v>34886.5</v>
      </c>
      <c r="EG53">
        <v>30490.1</v>
      </c>
      <c r="EH53">
        <v>39268.9</v>
      </c>
      <c r="EI53">
        <v>36033</v>
      </c>
      <c r="EJ53">
        <v>46182</v>
      </c>
      <c r="EK53">
        <v>2.52385</v>
      </c>
      <c r="EL53">
        <v>2.22385</v>
      </c>
      <c r="EM53">
        <v>0.0979677</v>
      </c>
      <c r="EN53">
        <v>0</v>
      </c>
      <c r="EO53">
        <v>24.4953</v>
      </c>
      <c r="EP53">
        <v>999.9</v>
      </c>
      <c r="EQ53">
        <v>63.5</v>
      </c>
      <c r="ER53">
        <v>27.2</v>
      </c>
      <c r="ES53">
        <v>22.7265</v>
      </c>
      <c r="ET53">
        <v>62.1148</v>
      </c>
      <c r="EU53">
        <v>25.8654</v>
      </c>
      <c r="EV53">
        <v>2</v>
      </c>
      <c r="EW53">
        <v>-0.253338</v>
      </c>
      <c r="EX53">
        <v>0</v>
      </c>
      <c r="EY53">
        <v>20.2941</v>
      </c>
      <c r="EZ53">
        <v>5.2113</v>
      </c>
      <c r="FA53">
        <v>11.968</v>
      </c>
      <c r="FB53">
        <v>4.9909</v>
      </c>
      <c r="FC53">
        <v>3.272</v>
      </c>
      <c r="FD53">
        <v>3212.1</v>
      </c>
      <c r="FE53">
        <v>9999</v>
      </c>
      <c r="FF53">
        <v>9999</v>
      </c>
      <c r="FG53">
        <v>999.9</v>
      </c>
      <c r="FH53">
        <v>4.97265</v>
      </c>
      <c r="FI53">
        <v>1.86279</v>
      </c>
      <c r="FJ53">
        <v>1.86462</v>
      </c>
      <c r="FK53">
        <v>1.8631</v>
      </c>
      <c r="FL53">
        <v>1.8631</v>
      </c>
      <c r="FM53">
        <v>1.86359</v>
      </c>
      <c r="FN53">
        <v>1.86006</v>
      </c>
      <c r="FO53">
        <v>1.86294</v>
      </c>
      <c r="FP53">
        <v>0</v>
      </c>
      <c r="FQ53">
        <v>0</v>
      </c>
      <c r="FR53">
        <v>0</v>
      </c>
      <c r="FS53">
        <v>0</v>
      </c>
      <c r="FT53" t="s">
        <v>356</v>
      </c>
      <c r="FU53" t="s">
        <v>357</v>
      </c>
      <c r="FV53" t="s">
        <v>358</v>
      </c>
      <c r="FW53" t="s">
        <v>358</v>
      </c>
      <c r="FX53" t="s">
        <v>358</v>
      </c>
      <c r="FY53" t="s">
        <v>358</v>
      </c>
      <c r="FZ53">
        <v>0</v>
      </c>
      <c r="GA53">
        <v>100</v>
      </c>
      <c r="GB53">
        <v>100</v>
      </c>
      <c r="GC53">
        <v>1.223</v>
      </c>
      <c r="GD53">
        <v>0.1607</v>
      </c>
      <c r="GE53">
        <v>1.478897515197426</v>
      </c>
      <c r="GF53">
        <v>-0.001033730503750798</v>
      </c>
      <c r="GG53">
        <v>9.120241388950126E-07</v>
      </c>
      <c r="GH53">
        <v>-2.246115299815222E-10</v>
      </c>
      <c r="GI53">
        <v>-0.09510902760134801</v>
      </c>
      <c r="GJ53">
        <v>-0.01814858093373864</v>
      </c>
      <c r="GK53">
        <v>0.002091959988359369</v>
      </c>
      <c r="GL53">
        <v>-1.90871700788604E-05</v>
      </c>
      <c r="GM53">
        <v>2</v>
      </c>
      <c r="GN53">
        <v>2210</v>
      </c>
      <c r="GO53">
        <v>1</v>
      </c>
      <c r="GP53">
        <v>26</v>
      </c>
      <c r="GQ53">
        <v>1.6</v>
      </c>
      <c r="GR53">
        <v>1.7</v>
      </c>
      <c r="GS53">
        <v>1.26831</v>
      </c>
      <c r="GT53">
        <v>2.37061</v>
      </c>
      <c r="GU53">
        <v>2.34741</v>
      </c>
      <c r="GV53">
        <v>2.71118</v>
      </c>
      <c r="GW53">
        <v>2.39868</v>
      </c>
      <c r="GX53">
        <v>2.2644</v>
      </c>
      <c r="GY53">
        <v>32.1124</v>
      </c>
      <c r="GZ53">
        <v>15.5768</v>
      </c>
      <c r="HA53">
        <v>18</v>
      </c>
      <c r="HB53">
        <v>824.779</v>
      </c>
      <c r="HC53">
        <v>641.37</v>
      </c>
      <c r="HD53">
        <v>25.5032</v>
      </c>
      <c r="HE53">
        <v>24.3213</v>
      </c>
      <c r="HF53">
        <v>30.0003</v>
      </c>
      <c r="HG53">
        <v>24.1691</v>
      </c>
      <c r="HH53">
        <v>24.1294</v>
      </c>
      <c r="HI53">
        <v>25.4548</v>
      </c>
      <c r="HJ53">
        <v>30.3906</v>
      </c>
      <c r="HK53">
        <v>73.5491</v>
      </c>
      <c r="HL53">
        <v>-999.9</v>
      </c>
      <c r="HM53">
        <v>405</v>
      </c>
      <c r="HN53">
        <v>17.177</v>
      </c>
      <c r="HO53">
        <v>100.481</v>
      </c>
      <c r="HP53">
        <v>100.836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2025-06-25T18:14:55Z</dcterms:created>
  <dcterms:modified xsi:type="dcterms:W3CDTF">2025-06-25T18:14:55Z</dcterms:modified>
</cp:coreProperties>
</file>