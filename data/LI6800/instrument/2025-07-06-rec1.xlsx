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  <sheet name="Remarks" sheetId="2" r:id="rId2"/>
  </sheets>
  <calcPr calcId="124519" fullCalcOnLoad="1"/>
</workbook>
</file>

<file path=xl/sharedStrings.xml><?xml version="1.0" encoding="utf-8"?>
<sst xmlns="http://schemas.openxmlformats.org/spreadsheetml/2006/main" count="1237" uniqueCount="444">
  <si>
    <t>File opened</t>
  </si>
  <si>
    <t>2025-07-06 10:07:08</t>
  </si>
  <si>
    <t>Console s/n</t>
  </si>
  <si>
    <t>68C-373361</t>
  </si>
  <si>
    <t>Console ver</t>
  </si>
  <si>
    <t>Bluestem v.2.1.11</t>
  </si>
  <si>
    <t>Scripts ver</t>
  </si>
  <si>
    <t>2023.02  2.1.11, Jun 2023</t>
  </si>
  <si>
    <t>Head s/n</t>
  </si>
  <si>
    <t>68H-413349</t>
  </si>
  <si>
    <t>Head ver</t>
  </si>
  <si>
    <t>1.4.23</t>
  </si>
  <si>
    <t>Head cal</t>
  </si>
  <si>
    <t>{"oxygen": "21", "co2azero": "0.969074", "co2aspan1": "1.00145", "co2aspan2": "-0.0293323", "co2aspan2a": "0.301932", "co2aspan2b": "0.299696", "co2aspanconc1": "2514", "co2aspanconc2": "296", "co2bzero": "1.01429", "co2bspan1": "1.00098", "co2bspan2": "-0.0286123", "co2bspan2a": "0.301091", "co2bspan2b": "0.298791", "co2bspanconc1": "2514", "co2bspanconc2": "296", "h2oazero": "1.06321", "h2oaspan1": "1.00793", "h2oaspan2": "0", "h2oaspan2a": "0.0675942", "h2oaspan2b": "0.0681305", "h2oaspanconc1": "11.66", "h2oaspanconc2": "0", "h2obzero": "1.06542", "h2obspan1": "1.00196", "h2obspan2": "0", "h2obspan2a": "0.0672478", "h2obspan2b": "0.0673797", "h2obspanconc1": "11.66", "h2obspanconc2": "0", "tazero": "0.100885", "tbzero": "0.175728", "flowmeterzero": "2.47802", "flowazero": "0.30464", "flowbzero": "0.31984", "chamberpressurezero": "2.62921", "ssa_ref": "32489.3", "ssb_ref": "40198.1"}</t>
  </si>
  <si>
    <t>Factory cal date</t>
  </si>
  <si>
    <t>02 May 2024</t>
  </si>
  <si>
    <t>CO2 rangematch</t>
  </si>
  <si>
    <t>Tue May  7 10:16</t>
  </si>
  <si>
    <t>H2O rangematch</t>
  </si>
  <si>
    <t>Tue May  7 10:10</t>
  </si>
  <si>
    <t>Chamber type</t>
  </si>
  <si>
    <t>6800-01A</t>
  </si>
  <si>
    <t>Chamber s/n</t>
  </si>
  <si>
    <t>MPF-742800</t>
  </si>
  <si>
    <t>Chamber rev</t>
  </si>
  <si>
    <t>0</t>
  </si>
  <si>
    <t>Chamber cal</t>
  </si>
  <si>
    <t>Fluorometer</t>
  </si>
  <si>
    <t>Flr. Version</t>
  </si>
  <si>
    <t>10:07:08</t>
  </si>
  <si>
    <t>Stability Definition:	ΔCO2 (Meas2): Slp&lt;0.1 Per=20	ΔH2O (Meas2): Slp&lt;0.1 Std&lt;0.1 Per=20</t>
  </si>
  <si>
    <t>SysConst</t>
  </si>
  <si>
    <t>AvgTime</t>
  </si>
  <si>
    <t>4</t>
  </si>
  <si>
    <t>Oxygen</t>
  </si>
  <si>
    <t>ChambConst</t>
  </si>
  <si>
    <t>Chamber</t>
  </si>
  <si>
    <t>Aperture</t>
  </si>
  <si>
    <t>6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</si>
  <si>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</si>
  <si>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</si>
  <si>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</si>
  <si>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</si>
  <si>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</si>
  <si>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</si>
  <si>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</si>
  <si>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</si>
  <si>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</si>
  <si>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</si>
  <si>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</si>
  <si>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</si>
  <si>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</si>
  <si>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</si>
  <si>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</si>
  <si>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</si>
  <si>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</si>
  <si>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</si>
  <si>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</si>
  <si>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</si>
  <si>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</si>
  <si>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</si>
  <si>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</si>
  <si>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</si>
  <si>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</si>
  <si>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</si>
  <si>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</si>
  <si>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</si>
  <si>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</si>
  <si>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</si>
  <si>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</si>
  <si>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</si>
  <si>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</si>
  <si>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</si>
  <si>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</si>
  <si>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</si>
  <si>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</si>
  <si>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</si>
  <si>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</si>
  <si>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</si>
  <si>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</si>
  <si>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</si>
  <si>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</si>
  <si>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</si>
  <si>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0.659993 193.362 353.528 575.523 844.85 1048.16 1229.79 1372.73</t>
  </si>
  <si>
    <t>Fs_true</t>
  </si>
  <si>
    <t>0.443839 218.532 385.838 589.754 809.978 1001.23 1201.05 1400.87</t>
  </si>
  <si>
    <t>leak_wt</t>
  </si>
  <si>
    <t>SysObs</t>
  </si>
  <si>
    <t>GasEx</t>
  </si>
  <si>
    <t>Dynamic</t>
  </si>
  <si>
    <t>Leak</t>
  </si>
  <si>
    <t>LeafQ</t>
  </si>
  <si>
    <t>Const</t>
  </si>
  <si>
    <t>Meas</t>
  </si>
  <si>
    <t>Meas2</t>
  </si>
  <si>
    <t>FlrLS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</si>
  <si>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</si>
  <si>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</si>
  <si>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</si>
  <si>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</si>
  <si>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</si>
  <si>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</si>
  <si>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</si>
  <si>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</si>
  <si>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</si>
  <si>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</si>
  <si>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</si>
  <si>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</si>
  <si>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</si>
  <si>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</si>
  <si>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</si>
  <si>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</si>
  <si>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</si>
  <si>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</si>
  <si>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</si>
  <si>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</si>
  <si>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</si>
  <si>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</si>
  <si>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</si>
  <si>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</si>
  <si>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</si>
  <si>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</si>
  <si>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</si>
  <si>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</si>
  <si>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</si>
  <si>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</si>
  <si>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</si>
  <si>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</si>
  <si>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</si>
  <si>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</si>
  <si>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</si>
  <si>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</si>
  <si>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</si>
  <si>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</si>
  <si>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Asty</t>
  </si>
  <si>
    <t>Esty</t>
  </si>
  <si>
    <t>Adyn</t>
  </si>
  <si>
    <t>Crd</t>
  </si>
  <si>
    <t>Csd</t>
  </si>
  <si>
    <t>dCsd/dt</t>
  </si>
  <si>
    <t>αVc</t>
  </si>
  <si>
    <t>Edyn</t>
  </si>
  <si>
    <t>Hr</t>
  </si>
  <si>
    <t>Hs</t>
  </si>
  <si>
    <t>dHs/dt</t>
  </si>
  <si>
    <t>αVh</t>
  </si>
  <si>
    <t>LeakPct</t>
  </si>
  <si>
    <t>CorrFact</t>
  </si>
  <si>
    <t>CorrFactPct</t>
  </si>
  <si>
    <t>Fan</t>
  </si>
  <si>
    <t>Qin</t>
  </si>
  <si>
    <t>Qabs</t>
  </si>
  <si>
    <t>alpha</t>
  </si>
  <si>
    <t>convert</t>
  </si>
  <si>
    <t>S</t>
  </si>
  <si>
    <t>K</t>
  </si>
  <si>
    <t>Geometry</t>
  </si>
  <si>
    <t>Custom</t>
  </si>
  <si>
    <t>UseDynamic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</si>
  <si>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</si>
  <si>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</si>
  <si>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</si>
  <si>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</si>
  <si>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</si>
  <si>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</si>
  <si>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</si>
  <si>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</si>
  <si>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</si>
  <si>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</si>
  <si>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</si>
  <si>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</si>
  <si>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</si>
  <si>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</si>
  <si>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</si>
  <si>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</si>
  <si>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</si>
  <si>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</si>
  <si>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</si>
  <si>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</si>
  <si>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</si>
  <si>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</si>
  <si>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</si>
  <si>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</si>
  <si>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</si>
  <si>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</si>
  <si>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</si>
  <si>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</si>
  <si>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</si>
  <si>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</si>
  <si>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</si>
  <si>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</si>
  <si>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</si>
  <si>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</si>
  <si>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</si>
  <si>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</si>
  <si>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</si>
  <si>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</si>
  <si>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</si>
  <si>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</si>
  <si>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</si>
  <si>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</si>
  <si>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</si>
  <si>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</si>
  <si>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</si>
  <si>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</si>
  <si>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</si>
  <si>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</si>
  <si>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</si>
  <si>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</si>
  <si>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</si>
  <si>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</si>
  <si>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</si>
  <si>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</si>
  <si>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</si>
  <si>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</si>
  <si>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</si>
  <si>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</si>
  <si>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</si>
  <si>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</si>
  <si>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</si>
  <si>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</si>
  <si>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</si>
  <si>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</si>
  <si>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</si>
  <si>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</si>
  <si>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</si>
  <si>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</si>
  <si>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</si>
  <si>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</si>
  <si>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</si>
  <si>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</si>
  <si>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</si>
  <si>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</si>
  <si>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</si>
  <si>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</si>
  <si>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</si>
  <si>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</si>
  <si>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</si>
  <si>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</si>
  <si>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</si>
  <si>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</si>
  <si>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</si>
  <si>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</si>
  <si>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</si>
  <si>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</si>
  <si>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</si>
  <si>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</si>
  <si>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</si>
  <si>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</si>
  <si>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</si>
  <si>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</si>
  <si>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</si>
  <si>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</si>
  <si>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</si>
  <si>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</si>
  <si>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</si>
  <si>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</si>
  <si>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</si>
  <si>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</si>
  <si>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</si>
  <si>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</si>
  <si>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</si>
  <si>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</si>
  <si>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</si>
  <si>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</si>
  <si>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</si>
  <si>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</si>
  <si>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</si>
  <si>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</si>
  <si>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</si>
  <si>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</si>
  <si>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</si>
  <si>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</si>
  <si>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</si>
  <si>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</si>
  <si>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</si>
  <si>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</si>
  <si>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</si>
  <si>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</si>
  <si>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</si>
  <si>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</si>
  <si>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</si>
  <si>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</si>
  <si>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</si>
  <si>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</si>
  <si>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</si>
  <si>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</si>
  <si>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</si>
  <si>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</si>
  <si>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</si>
  <si>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</si>
  <si>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</si>
  <si>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</si>
  <si>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</si>
  <si>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</si>
  <si>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</si>
  <si>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</si>
  <si>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</si>
  <si>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</si>
  <si>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</si>
  <si>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</si>
  <si>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</si>
  <si>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</si>
  <si>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</si>
  <si>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</si>
  <si>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</si>
  <si>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</si>
  <si>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</si>
  <si>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</si>
  <si>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</si>
  <si>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</si>
  <si>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</si>
  <si>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</si>
  <si>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</si>
  <si>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</si>
  <si>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</si>
  <si>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</si>
  <si>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</si>
  <si>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</si>
  <si>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</si>
  <si>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</si>
  <si>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</si>
  <si>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</si>
  <si>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</si>
  <si>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</si>
  <si>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</si>
  <si>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</si>
  <si>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</si>
  <si>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</si>
  <si>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</si>
  <si>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</si>
  <si>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</si>
  <si>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</si>
  <si>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mol⁻¹ s⁻¹</t>
  </si>
  <si>
    <t>cm³</t>
  </si>
  <si>
    <t>mmol mol⁻¹</t>
  </si>
  <si>
    <t>mmol mol⁻¹ s⁻¹</t>
  </si>
  <si>
    <t>µmol s⁻¹</t>
  </si>
  <si>
    <t>J/µmol</t>
  </si>
  <si>
    <t>cm²</t>
  </si>
  <si>
    <t>rpm</t>
  </si>
  <si>
    <t>secs</t>
  </si>
  <si>
    <t>µmol/mol</t>
  </si>
  <si>
    <t>mmol/mol</t>
  </si>
  <si>
    <t>µmol mol⁻¹ min⁻¹</t>
  </si>
  <si>
    <t>mmol mol⁻¹ min⁻¹</t>
  </si>
  <si>
    <t>V</t>
  </si>
  <si>
    <t>mV</t>
  </si>
  <si>
    <t>mg</t>
  </si>
  <si>
    <t>hrs</t>
  </si>
  <si>
    <t>min</t>
  </si>
  <si>
    <t>20250706 10:19:46</t>
  </si>
  <si>
    <t>10:19:46</t>
  </si>
  <si>
    <t>1: Needles</t>
  </si>
  <si>
    <t>10:20:14</t>
  </si>
  <si>
    <t>1/2</t>
  </si>
  <si>
    <t>11111111</t>
  </si>
  <si>
    <t>oooooooo</t>
  </si>
  <si>
    <t>on</t>
  </si>
  <si>
    <t>20250706 10:21:23</t>
  </si>
  <si>
    <t>10:21:23</t>
  </si>
  <si>
    <t>10:21:40</t>
  </si>
  <si>
    <t>20250706 10:23:16</t>
  </si>
  <si>
    <t>10:23:16</t>
  </si>
  <si>
    <t>10:23:45</t>
  </si>
  <si>
    <t>0/2</t>
  </si>
  <si>
    <t>20250706 10:25:02</t>
  </si>
  <si>
    <t>10:25:02</t>
  </si>
  <si>
    <t>10:25:21</t>
  </si>
  <si>
    <t>20250706 10:26:52</t>
  </si>
  <si>
    <t>10:26:52</t>
  </si>
  <si>
    <t>10:27:09</t>
  </si>
  <si>
    <t>20250706 10:28:36</t>
  </si>
  <si>
    <t>10:28:36</t>
  </si>
  <si>
    <t>10:28:57</t>
  </si>
  <si>
    <t>20250706 10:30:39</t>
  </si>
  <si>
    <t>10:30:39</t>
  </si>
  <si>
    <t>10:31:00</t>
  </si>
  <si>
    <t>20250706 10:33:06</t>
  </si>
  <si>
    <t>10:33:06</t>
  </si>
  <si>
    <t>10:33:25</t>
  </si>
  <si>
    <t>20250706 10:34:44</t>
  </si>
  <si>
    <t>10:34:44</t>
  </si>
  <si>
    <t>10:35:07</t>
  </si>
  <si>
    <t>20250706 10:36:46</t>
  </si>
  <si>
    <t>10:36:46</t>
  </si>
  <si>
    <t>20250706 10:38:29</t>
  </si>
  <si>
    <t>10:38:29</t>
  </si>
  <si>
    <t>10:38:46</t>
  </si>
  <si>
    <t>20250706 10:40:18</t>
  </si>
  <si>
    <t>10:40:18</t>
  </si>
  <si>
    <t>10:40:35</t>
  </si>
  <si>
    <t>20250706 10:41:53</t>
  </si>
  <si>
    <t>10:41:53</t>
  </si>
  <si>
    <t>10:42:10</t>
  </si>
  <si>
    <t>20250706 10:43:22</t>
  </si>
  <si>
    <t>10:43:22</t>
  </si>
  <si>
    <t>10:43:45</t>
  </si>
  <si>
    <t>20250706 10:45:00</t>
  </si>
  <si>
    <t>10:45:00</t>
  </si>
  <si>
    <t>10:45:20</t>
  </si>
  <si>
    <t>20250706 10:46:37</t>
  </si>
  <si>
    <t>10:46:37</t>
  </si>
  <si>
    <t>10:47:04</t>
  </si>
  <si>
    <t>20250706 10:48:16</t>
  </si>
  <si>
    <t>10:48:16</t>
  </si>
  <si>
    <t>10:48:34</t>
  </si>
  <si>
    <t>20250706 10:51:13</t>
  </si>
  <si>
    <t>10:51:13</t>
  </si>
  <si>
    <t>10:51:36</t>
  </si>
  <si>
    <t>20250706 10:54:30</t>
  </si>
  <si>
    <t>10:54:30</t>
  </si>
  <si>
    <t>10:54:47</t>
  </si>
  <si>
    <t>20250706 10:56:56</t>
  </si>
  <si>
    <t>10:56:56</t>
  </si>
  <si>
    <t>10:57:12</t>
  </si>
  <si>
    <t>20250706 10:58:26</t>
  </si>
  <si>
    <t>10:58:26</t>
  </si>
  <si>
    <t>10:58:53</t>
  </si>
  <si>
    <t>20250706 11:00:49</t>
  </si>
  <si>
    <t>11:00:49</t>
  </si>
  <si>
    <t>11:01:08</t>
  </si>
  <si>
    <t>20250706 11:02:47</t>
  </si>
  <si>
    <t>11:02:47</t>
  </si>
  <si>
    <t>11:03:04</t>
  </si>
  <si>
    <t>20250706 11:04:33</t>
  </si>
  <si>
    <t>11:04:33</t>
  </si>
  <si>
    <t>11:04:51</t>
  </si>
  <si>
    <t>20250706 11:06:33</t>
  </si>
  <si>
    <t>11:06:33</t>
  </si>
  <si>
    <t>11:06:50</t>
  </si>
  <si>
    <t>20250706 11:09:18</t>
  </si>
  <si>
    <t>11:09:18</t>
  </si>
  <si>
    <t>11:09:35</t>
  </si>
  <si>
    <t>20250706 11:11:04</t>
  </si>
  <si>
    <t>11:11:04</t>
  </si>
  <si>
    <t>11:11:21</t>
  </si>
  <si>
    <t>2/2</t>
  </si>
  <si>
    <t>20250706 11:13:14</t>
  </si>
  <si>
    <t>11:13:14</t>
  </si>
  <si>
    <t>11:13:37</t>
  </si>
  <si>
    <t>20250706 11:15:16</t>
  </si>
  <si>
    <t>11:15:16</t>
  </si>
  <si>
    <t>11:15:35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</si>
</sst>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HP45"/>
  <sheetViews>
    <sheetView tabSelected="1" workbookViewId="0"/>
  </sheetViews>
  <sheetFormatPr defaultRowHeight="15"/>
  <sheetData>
    <row r="2" spans="1:224">
      <c r="A2" t="s">
        <v>31</v>
      </c>
      <c r="B2" t="s">
        <v>32</v>
      </c>
      <c r="C2" t="s">
        <v>34</v>
      </c>
    </row>
    <row r="3" spans="1:224">
      <c r="B3" t="s">
        <v>33</v>
      </c>
      <c r="C3">
        <v>21</v>
      </c>
    </row>
    <row r="4" spans="1:224">
      <c r="A4" t="s">
        <v>35</v>
      </c>
      <c r="B4" t="s">
        <v>36</v>
      </c>
      <c r="C4" t="s">
        <v>37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45</v>
      </c>
      <c r="K4" t="s">
        <v>46</v>
      </c>
    </row>
    <row r="5" spans="1:224">
      <c r="B5" t="s">
        <v>21</v>
      </c>
      <c r="C5" t="s">
        <v>38</v>
      </c>
      <c r="D5">
        <v>0.578</v>
      </c>
      <c r="E5">
        <v>0.5229739</v>
      </c>
      <c r="F5">
        <v>0.003740252</v>
      </c>
      <c r="G5">
        <v>-0.06197961</v>
      </c>
      <c r="H5">
        <v>-0.005608586</v>
      </c>
      <c r="I5">
        <v>1</v>
      </c>
      <c r="J5">
        <v>6</v>
      </c>
      <c r="K5">
        <v>96.90000000000001</v>
      </c>
    </row>
    <row r="6" spans="1:224">
      <c r="A6" t="s">
        <v>47</v>
      </c>
      <c r="B6" t="s">
        <v>48</v>
      </c>
      <c r="C6" t="s">
        <v>49</v>
      </c>
      <c r="D6" t="s">
        <v>50</v>
      </c>
      <c r="E6" t="s">
        <v>51</v>
      </c>
    </row>
    <row r="7" spans="1:224">
      <c r="B7">
        <v>0</v>
      </c>
      <c r="C7">
        <v>1</v>
      </c>
      <c r="D7">
        <v>0</v>
      </c>
      <c r="E7">
        <v>0</v>
      </c>
    </row>
    <row r="8" spans="1:224">
      <c r="A8" t="s">
        <v>52</v>
      </c>
      <c r="B8" t="s">
        <v>53</v>
      </c>
      <c r="C8" t="s">
        <v>55</v>
      </c>
      <c r="D8" t="s">
        <v>57</v>
      </c>
      <c r="E8" t="s">
        <v>58</v>
      </c>
      <c r="F8" t="s">
        <v>59</v>
      </c>
      <c r="G8" t="s">
        <v>60</v>
      </c>
      <c r="H8" t="s">
        <v>61</v>
      </c>
      <c r="I8" t="s">
        <v>62</v>
      </c>
      <c r="J8" t="s">
        <v>63</v>
      </c>
      <c r="K8" t="s">
        <v>64</v>
      </c>
      <c r="L8" t="s">
        <v>65</v>
      </c>
      <c r="M8" t="s">
        <v>66</v>
      </c>
      <c r="N8" t="s">
        <v>67</v>
      </c>
      <c r="O8" t="s">
        <v>68</v>
      </c>
      <c r="P8" t="s">
        <v>69</v>
      </c>
      <c r="Q8" t="s">
        <v>70</v>
      </c>
    </row>
    <row r="9" spans="1:224">
      <c r="B9" t="s">
        <v>54</v>
      </c>
      <c r="C9" t="s">
        <v>56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0.1911</v>
      </c>
      <c r="L9">
        <v>0.1512</v>
      </c>
      <c r="M9">
        <v>0.161</v>
      </c>
      <c r="N9">
        <v>0.2262</v>
      </c>
      <c r="O9">
        <v>0.1575</v>
      </c>
      <c r="P9">
        <v>0.1596</v>
      </c>
      <c r="Q9">
        <v>0.2175</v>
      </c>
    </row>
    <row r="10" spans="1:224">
      <c r="A10" t="s">
        <v>71</v>
      </c>
      <c r="B10" t="s">
        <v>72</v>
      </c>
      <c r="C10" t="s">
        <v>73</v>
      </c>
      <c r="D10" t="s">
        <v>74</v>
      </c>
      <c r="E10" t="s">
        <v>75</v>
      </c>
      <c r="F10" t="s">
        <v>76</v>
      </c>
    </row>
    <row r="11" spans="1:224">
      <c r="B11">
        <v>0</v>
      </c>
      <c r="C11">
        <v>0</v>
      </c>
      <c r="D11">
        <v>0</v>
      </c>
      <c r="E11">
        <v>0</v>
      </c>
      <c r="F11">
        <v>1</v>
      </c>
    </row>
    <row r="12" spans="1:224">
      <c r="A12" t="s">
        <v>77</v>
      </c>
      <c r="B12" t="s">
        <v>78</v>
      </c>
      <c r="C12" t="s">
        <v>79</v>
      </c>
      <c r="D12" t="s">
        <v>80</v>
      </c>
      <c r="E12" t="s">
        <v>81</v>
      </c>
      <c r="F12" t="s">
        <v>82</v>
      </c>
      <c r="G12" t="s">
        <v>84</v>
      </c>
      <c r="H12" t="s">
        <v>86</v>
      </c>
    </row>
    <row r="13" spans="1:224">
      <c r="B13">
        <v>-6276</v>
      </c>
      <c r="C13">
        <v>6.6</v>
      </c>
      <c r="D13">
        <v>1.709E-05</v>
      </c>
      <c r="E13">
        <v>3.11</v>
      </c>
      <c r="F13" t="s">
        <v>83</v>
      </c>
      <c r="G13" t="s">
        <v>85</v>
      </c>
      <c r="H13">
        <v>0</v>
      </c>
    </row>
    <row r="14" spans="1:224">
      <c r="A14" t="s">
        <v>87</v>
      </c>
      <c r="B14" t="s">
        <v>87</v>
      </c>
      <c r="C14" t="s">
        <v>87</v>
      </c>
      <c r="D14" t="s">
        <v>87</v>
      </c>
      <c r="E14" t="s">
        <v>87</v>
      </c>
      <c r="F14" t="s">
        <v>87</v>
      </c>
      <c r="G14" t="s">
        <v>88</v>
      </c>
      <c r="H14" t="s">
        <v>88</v>
      </c>
      <c r="I14" t="s">
        <v>88</v>
      </c>
      <c r="J14" t="s">
        <v>88</v>
      </c>
      <c r="K14" t="s">
        <v>88</v>
      </c>
      <c r="L14" t="s">
        <v>88</v>
      </c>
      <c r="M14" t="s">
        <v>88</v>
      </c>
      <c r="N14" t="s">
        <v>88</v>
      </c>
      <c r="O14" t="s">
        <v>88</v>
      </c>
      <c r="P14" t="s">
        <v>88</v>
      </c>
      <c r="Q14" t="s">
        <v>88</v>
      </c>
      <c r="R14" t="s">
        <v>88</v>
      </c>
      <c r="S14" t="s">
        <v>88</v>
      </c>
      <c r="T14" t="s">
        <v>88</v>
      </c>
      <c r="U14" t="s">
        <v>88</v>
      </c>
      <c r="V14" t="s">
        <v>88</v>
      </c>
      <c r="W14" t="s">
        <v>88</v>
      </c>
      <c r="X14" t="s">
        <v>88</v>
      </c>
      <c r="Y14" t="s">
        <v>88</v>
      </c>
      <c r="Z14" t="s">
        <v>88</v>
      </c>
      <c r="AA14" t="s">
        <v>88</v>
      </c>
      <c r="AB14" t="s">
        <v>88</v>
      </c>
      <c r="AC14" t="s">
        <v>88</v>
      </c>
      <c r="AD14" t="s">
        <v>88</v>
      </c>
      <c r="AE14" t="s">
        <v>88</v>
      </c>
      <c r="AF14" t="s">
        <v>88</v>
      </c>
      <c r="AG14" t="s">
        <v>89</v>
      </c>
      <c r="AH14" t="s">
        <v>89</v>
      </c>
      <c r="AI14" t="s">
        <v>89</v>
      </c>
      <c r="AJ14" t="s">
        <v>89</v>
      </c>
      <c r="AK14" t="s">
        <v>89</v>
      </c>
      <c r="AL14" t="s">
        <v>89</v>
      </c>
      <c r="AM14" t="s">
        <v>89</v>
      </c>
      <c r="AN14" t="s">
        <v>89</v>
      </c>
      <c r="AO14" t="s">
        <v>89</v>
      </c>
      <c r="AP14" t="s">
        <v>89</v>
      </c>
      <c r="AQ14" t="s">
        <v>90</v>
      </c>
      <c r="AR14" t="s">
        <v>90</v>
      </c>
      <c r="AS14" t="s">
        <v>90</v>
      </c>
      <c r="AT14" t="s">
        <v>90</v>
      </c>
      <c r="AU14" t="s">
        <v>90</v>
      </c>
      <c r="AV14" t="s">
        <v>91</v>
      </c>
      <c r="AW14" t="s">
        <v>91</v>
      </c>
      <c r="AX14" t="s">
        <v>91</v>
      </c>
      <c r="AY14" t="s">
        <v>91</v>
      </c>
      <c r="AZ14" t="s">
        <v>92</v>
      </c>
      <c r="BA14" t="s">
        <v>92</v>
      </c>
      <c r="BB14" t="s">
        <v>92</v>
      </c>
      <c r="BC14" t="s">
        <v>92</v>
      </c>
      <c r="BD14" t="s">
        <v>92</v>
      </c>
      <c r="BE14" t="s">
        <v>93</v>
      </c>
      <c r="BF14" t="s">
        <v>93</v>
      </c>
      <c r="BG14" t="s">
        <v>93</v>
      </c>
      <c r="BH14" t="s">
        <v>93</v>
      </c>
      <c r="BI14" t="s">
        <v>93</v>
      </c>
      <c r="BJ14" t="s">
        <v>93</v>
      </c>
      <c r="BK14" t="s">
        <v>93</v>
      </c>
      <c r="BL14" t="s">
        <v>93</v>
      </c>
      <c r="BM14" t="s">
        <v>93</v>
      </c>
      <c r="BN14" t="s">
        <v>93</v>
      </c>
      <c r="BO14" t="s">
        <v>93</v>
      </c>
      <c r="BP14" t="s">
        <v>93</v>
      </c>
      <c r="BQ14" t="s">
        <v>93</v>
      </c>
      <c r="BR14" t="s">
        <v>93</v>
      </c>
      <c r="BS14" t="s">
        <v>93</v>
      </c>
      <c r="BT14" t="s">
        <v>93</v>
      </c>
      <c r="BU14" t="s">
        <v>93</v>
      </c>
      <c r="BV14" t="s">
        <v>93</v>
      </c>
      <c r="BW14" t="s">
        <v>94</v>
      </c>
      <c r="BX14" t="s">
        <v>94</v>
      </c>
      <c r="BY14" t="s">
        <v>94</v>
      </c>
      <c r="BZ14" t="s">
        <v>94</v>
      </c>
      <c r="CA14" t="s">
        <v>94</v>
      </c>
      <c r="CB14" t="s">
        <v>94</v>
      </c>
      <c r="CC14" t="s">
        <v>94</v>
      </c>
      <c r="CD14" t="s">
        <v>94</v>
      </c>
      <c r="CE14" t="s">
        <v>94</v>
      </c>
      <c r="CF14" t="s">
        <v>94</v>
      </c>
      <c r="CG14" t="s">
        <v>95</v>
      </c>
      <c r="CH14" t="s">
        <v>95</v>
      </c>
      <c r="CI14" t="s">
        <v>95</v>
      </c>
      <c r="CJ14" t="s">
        <v>95</v>
      </c>
      <c r="CK14" t="s">
        <v>95</v>
      </c>
      <c r="CL14" t="s">
        <v>95</v>
      </c>
      <c r="CM14" t="s">
        <v>95</v>
      </c>
      <c r="CN14" t="s">
        <v>95</v>
      </c>
      <c r="CO14" t="s">
        <v>95</v>
      </c>
      <c r="CP14" t="s">
        <v>95</v>
      </c>
      <c r="CQ14" t="s">
        <v>95</v>
      </c>
      <c r="CR14" t="s">
        <v>95</v>
      </c>
      <c r="CS14" t="s">
        <v>95</v>
      </c>
      <c r="CT14" t="s">
        <v>95</v>
      </c>
      <c r="CU14" t="s">
        <v>95</v>
      </c>
      <c r="CV14" t="s">
        <v>95</v>
      </c>
      <c r="CW14" t="s">
        <v>95</v>
      </c>
      <c r="CX14" t="s">
        <v>95</v>
      </c>
      <c r="CY14" t="s">
        <v>96</v>
      </c>
      <c r="CZ14" t="s">
        <v>96</v>
      </c>
      <c r="DA14" t="s">
        <v>96</v>
      </c>
      <c r="DB14" t="s">
        <v>96</v>
      </c>
      <c r="DC14" t="s">
        <v>96</v>
      </c>
      <c r="DD14" t="s">
        <v>96</v>
      </c>
      <c r="DE14" t="s">
        <v>96</v>
      </c>
      <c r="DF14" t="s">
        <v>96</v>
      </c>
      <c r="DG14" t="s">
        <v>96</v>
      </c>
      <c r="DH14" t="s">
        <v>96</v>
      </c>
      <c r="DI14" t="s">
        <v>96</v>
      </c>
      <c r="DJ14" t="s">
        <v>96</v>
      </c>
      <c r="DK14" t="s">
        <v>96</v>
      </c>
      <c r="DL14" t="s">
        <v>97</v>
      </c>
      <c r="DM14" t="s">
        <v>97</v>
      </c>
      <c r="DN14" t="s">
        <v>97</v>
      </c>
      <c r="DO14" t="s">
        <v>97</v>
      </c>
      <c r="DP14" t="s">
        <v>97</v>
      </c>
      <c r="DQ14" t="s">
        <v>97</v>
      </c>
      <c r="DR14" t="s">
        <v>97</v>
      </c>
      <c r="DS14" t="s">
        <v>97</v>
      </c>
      <c r="DT14" t="s">
        <v>97</v>
      </c>
      <c r="DU14" t="s">
        <v>97</v>
      </c>
      <c r="DV14" t="s">
        <v>97</v>
      </c>
      <c r="DW14" t="s">
        <v>98</v>
      </c>
      <c r="DX14" t="s">
        <v>98</v>
      </c>
      <c r="DY14" t="s">
        <v>98</v>
      </c>
      <c r="DZ14" t="s">
        <v>98</v>
      </c>
      <c r="EA14" t="s">
        <v>98</v>
      </c>
      <c r="EB14" t="s">
        <v>98</v>
      </c>
      <c r="EC14" t="s">
        <v>98</v>
      </c>
      <c r="ED14" t="s">
        <v>98</v>
      </c>
      <c r="EE14" t="s">
        <v>98</v>
      </c>
      <c r="EF14" t="s">
        <v>98</v>
      </c>
      <c r="EG14" t="s">
        <v>98</v>
      </c>
      <c r="EH14" t="s">
        <v>98</v>
      </c>
      <c r="EI14" t="s">
        <v>98</v>
      </c>
      <c r="EJ14" t="s">
        <v>98</v>
      </c>
      <c r="EK14" t="s">
        <v>98</v>
      </c>
      <c r="EL14" t="s">
        <v>98</v>
      </c>
      <c r="EM14" t="s">
        <v>98</v>
      </c>
      <c r="EN14" t="s">
        <v>98</v>
      </c>
      <c r="EO14" t="s">
        <v>99</v>
      </c>
      <c r="EP14" t="s">
        <v>99</v>
      </c>
      <c r="EQ14" t="s">
        <v>99</v>
      </c>
      <c r="ER14" t="s">
        <v>99</v>
      </c>
      <c r="ES14" t="s">
        <v>99</v>
      </c>
      <c r="ET14" t="s">
        <v>99</v>
      </c>
      <c r="EU14" t="s">
        <v>99</v>
      </c>
      <c r="EV14" t="s">
        <v>99</v>
      </c>
      <c r="EW14" t="s">
        <v>99</v>
      </c>
      <c r="EX14" t="s">
        <v>99</v>
      </c>
      <c r="EY14" t="s">
        <v>99</v>
      </c>
      <c r="EZ14" t="s">
        <v>99</v>
      </c>
      <c r="FA14" t="s">
        <v>99</v>
      </c>
      <c r="FB14" t="s">
        <v>99</v>
      </c>
      <c r="FC14" t="s">
        <v>99</v>
      </c>
      <c r="FD14" t="s">
        <v>99</v>
      </c>
      <c r="FE14" t="s">
        <v>99</v>
      </c>
      <c r="FF14" t="s">
        <v>99</v>
      </c>
      <c r="FG14" t="s">
        <v>99</v>
      </c>
      <c r="FH14" t="s">
        <v>100</v>
      </c>
      <c r="FI14" t="s">
        <v>100</v>
      </c>
      <c r="FJ14" t="s">
        <v>100</v>
      </c>
      <c r="FK14" t="s">
        <v>100</v>
      </c>
      <c r="FL14" t="s">
        <v>100</v>
      </c>
      <c r="FM14" t="s">
        <v>100</v>
      </c>
      <c r="FN14" t="s">
        <v>100</v>
      </c>
      <c r="FO14" t="s">
        <v>100</v>
      </c>
      <c r="FP14" t="s">
        <v>100</v>
      </c>
      <c r="FQ14" t="s">
        <v>100</v>
      </c>
      <c r="FR14" t="s">
        <v>100</v>
      </c>
      <c r="FS14" t="s">
        <v>100</v>
      </c>
      <c r="FT14" t="s">
        <v>100</v>
      </c>
      <c r="FU14" t="s">
        <v>100</v>
      </c>
      <c r="FV14" t="s">
        <v>100</v>
      </c>
      <c r="FW14" t="s">
        <v>100</v>
      </c>
      <c r="FX14" t="s">
        <v>100</v>
      </c>
      <c r="FY14" t="s">
        <v>100</v>
      </c>
      <c r="FZ14" t="s">
        <v>100</v>
      </c>
      <c r="GA14" t="s">
        <v>101</v>
      </c>
      <c r="GB14" t="s">
        <v>101</v>
      </c>
      <c r="GC14" t="s">
        <v>101</v>
      </c>
      <c r="GD14" t="s">
        <v>101</v>
      </c>
      <c r="GE14" t="s">
        <v>101</v>
      </c>
      <c r="GF14" t="s">
        <v>101</v>
      </c>
      <c r="GG14" t="s">
        <v>101</v>
      </c>
      <c r="GH14" t="s">
        <v>101</v>
      </c>
      <c r="GI14" t="s">
        <v>101</v>
      </c>
      <c r="GJ14" t="s">
        <v>101</v>
      </c>
      <c r="GK14" t="s">
        <v>101</v>
      </c>
      <c r="GL14" t="s">
        <v>101</v>
      </c>
      <c r="GM14" t="s">
        <v>101</v>
      </c>
      <c r="GN14" t="s">
        <v>101</v>
      </c>
      <c r="GO14" t="s">
        <v>101</v>
      </c>
      <c r="GP14" t="s">
        <v>101</v>
      </c>
      <c r="GQ14" t="s">
        <v>101</v>
      </c>
      <c r="GR14" t="s">
        <v>101</v>
      </c>
      <c r="GS14" t="s">
        <v>102</v>
      </c>
      <c r="GT14" t="s">
        <v>102</v>
      </c>
      <c r="GU14" t="s">
        <v>102</v>
      </c>
      <c r="GV14" t="s">
        <v>102</v>
      </c>
      <c r="GW14" t="s">
        <v>102</v>
      </c>
      <c r="GX14" t="s">
        <v>102</v>
      </c>
      <c r="GY14" t="s">
        <v>102</v>
      </c>
      <c r="GZ14" t="s">
        <v>102</v>
      </c>
      <c r="HA14" t="s">
        <v>103</v>
      </c>
      <c r="HB14" t="s">
        <v>103</v>
      </c>
      <c r="HC14" t="s">
        <v>103</v>
      </c>
      <c r="HD14" t="s">
        <v>103</v>
      </c>
      <c r="HE14" t="s">
        <v>103</v>
      </c>
      <c r="HF14" t="s">
        <v>103</v>
      </c>
      <c r="HG14" t="s">
        <v>103</v>
      </c>
      <c r="HH14" t="s">
        <v>103</v>
      </c>
      <c r="HI14" t="s">
        <v>103</v>
      </c>
      <c r="HJ14" t="s">
        <v>103</v>
      </c>
      <c r="HK14" t="s">
        <v>103</v>
      </c>
      <c r="HL14" t="s">
        <v>103</v>
      </c>
      <c r="HM14" t="s">
        <v>103</v>
      </c>
      <c r="HN14" t="s">
        <v>103</v>
      </c>
      <c r="HO14" t="s">
        <v>103</v>
      </c>
      <c r="HP14" t="s">
        <v>103</v>
      </c>
    </row>
    <row r="15" spans="1:224">
      <c r="A15" t="s">
        <v>104</v>
      </c>
      <c r="B15" t="s">
        <v>105</v>
      </c>
      <c r="C15" t="s">
        <v>106</v>
      </c>
      <c r="D15" t="s">
        <v>107</v>
      </c>
      <c r="E15" t="s">
        <v>108</v>
      </c>
      <c r="F15" t="s">
        <v>109</v>
      </c>
      <c r="G15" t="s">
        <v>110</v>
      </c>
      <c r="H15" t="s">
        <v>111</v>
      </c>
      <c r="I15" t="s">
        <v>112</v>
      </c>
      <c r="J15" t="s">
        <v>113</v>
      </c>
      <c r="K15" t="s">
        <v>114</v>
      </c>
      <c r="L15" t="s">
        <v>115</v>
      </c>
      <c r="M15" t="s">
        <v>116</v>
      </c>
      <c r="N15" t="s">
        <v>117</v>
      </c>
      <c r="O15" t="s">
        <v>118</v>
      </c>
      <c r="P15" t="s">
        <v>119</v>
      </c>
      <c r="Q15" t="s">
        <v>120</v>
      </c>
      <c r="R15" t="s">
        <v>121</v>
      </c>
      <c r="S15" t="s">
        <v>122</v>
      </c>
      <c r="T15" t="s">
        <v>123</v>
      </c>
      <c r="U15" t="s">
        <v>124</v>
      </c>
      <c r="V15" t="s">
        <v>125</v>
      </c>
      <c r="W15" t="s">
        <v>126</v>
      </c>
      <c r="X15" t="s">
        <v>127</v>
      </c>
      <c r="Y15" t="s">
        <v>128</v>
      </c>
      <c r="Z15" t="s">
        <v>129</v>
      </c>
      <c r="AA15" t="s">
        <v>130</v>
      </c>
      <c r="AB15" t="s">
        <v>131</v>
      </c>
      <c r="AC15" t="s">
        <v>132</v>
      </c>
      <c r="AD15" t="s">
        <v>133</v>
      </c>
      <c r="AE15" t="s">
        <v>134</v>
      </c>
      <c r="AF15" t="s">
        <v>135</v>
      </c>
      <c r="AG15" t="s">
        <v>136</v>
      </c>
      <c r="AH15" t="s">
        <v>137</v>
      </c>
      <c r="AI15" t="s">
        <v>138</v>
      </c>
      <c r="AJ15" t="s">
        <v>139</v>
      </c>
      <c r="AK15" t="s">
        <v>140</v>
      </c>
      <c r="AL15" t="s">
        <v>141</v>
      </c>
      <c r="AM15" t="s">
        <v>142</v>
      </c>
      <c r="AN15" t="s">
        <v>143</v>
      </c>
      <c r="AO15" t="s">
        <v>144</v>
      </c>
      <c r="AP15" t="s">
        <v>145</v>
      </c>
      <c r="AQ15" t="s">
        <v>90</v>
      </c>
      <c r="AR15" t="s">
        <v>146</v>
      </c>
      <c r="AS15" t="s">
        <v>147</v>
      </c>
      <c r="AT15" t="s">
        <v>148</v>
      </c>
      <c r="AU15" t="s">
        <v>149</v>
      </c>
      <c r="AV15" t="s">
        <v>150</v>
      </c>
      <c r="AW15" t="s">
        <v>151</v>
      </c>
      <c r="AX15" t="s">
        <v>152</v>
      </c>
      <c r="AY15" t="s">
        <v>153</v>
      </c>
      <c r="AZ15" t="s">
        <v>154</v>
      </c>
      <c r="BA15" t="s">
        <v>155</v>
      </c>
      <c r="BB15" t="s">
        <v>156</v>
      </c>
      <c r="BC15" t="s">
        <v>157</v>
      </c>
      <c r="BD15" t="s">
        <v>158</v>
      </c>
      <c r="BE15" t="s">
        <v>110</v>
      </c>
      <c r="BF15" t="s">
        <v>159</v>
      </c>
      <c r="BG15" t="s">
        <v>160</v>
      </c>
      <c r="BH15" t="s">
        <v>161</v>
      </c>
      <c r="BI15" t="s">
        <v>162</v>
      </c>
      <c r="BJ15" t="s">
        <v>163</v>
      </c>
      <c r="BK15" t="s">
        <v>164</v>
      </c>
      <c r="BL15" t="s">
        <v>165</v>
      </c>
      <c r="BM15" t="s">
        <v>166</v>
      </c>
      <c r="BN15" t="s">
        <v>167</v>
      </c>
      <c r="BO15" t="s">
        <v>168</v>
      </c>
      <c r="BP15" t="s">
        <v>169</v>
      </c>
      <c r="BQ15" t="s">
        <v>170</v>
      </c>
      <c r="BR15" t="s">
        <v>171</v>
      </c>
      <c r="BS15" t="s">
        <v>172</v>
      </c>
      <c r="BT15" t="s">
        <v>173</v>
      </c>
      <c r="BU15" t="s">
        <v>174</v>
      </c>
      <c r="BV15" t="s">
        <v>175</v>
      </c>
      <c r="BW15" t="s">
        <v>176</v>
      </c>
      <c r="BX15" t="s">
        <v>177</v>
      </c>
      <c r="BY15" t="s">
        <v>178</v>
      </c>
      <c r="BZ15" t="s">
        <v>179</v>
      </c>
      <c r="CA15" t="s">
        <v>180</v>
      </c>
      <c r="CB15" t="s">
        <v>181</v>
      </c>
      <c r="CC15" t="s">
        <v>182</v>
      </c>
      <c r="CD15" t="s">
        <v>183</v>
      </c>
      <c r="CE15" t="s">
        <v>184</v>
      </c>
      <c r="CF15" t="s">
        <v>185</v>
      </c>
      <c r="CG15" t="s">
        <v>186</v>
      </c>
      <c r="CH15" t="s">
        <v>187</v>
      </c>
      <c r="CI15" t="s">
        <v>188</v>
      </c>
      <c r="CJ15" t="s">
        <v>189</v>
      </c>
      <c r="CK15" t="s">
        <v>190</v>
      </c>
      <c r="CL15" t="s">
        <v>191</v>
      </c>
      <c r="CM15" t="s">
        <v>192</v>
      </c>
      <c r="CN15" t="s">
        <v>193</v>
      </c>
      <c r="CO15" t="s">
        <v>194</v>
      </c>
      <c r="CP15" t="s">
        <v>195</v>
      </c>
      <c r="CQ15" t="s">
        <v>196</v>
      </c>
      <c r="CR15" t="s">
        <v>197</v>
      </c>
      <c r="CS15" t="s">
        <v>198</v>
      </c>
      <c r="CT15" t="s">
        <v>199</v>
      </c>
      <c r="CU15" t="s">
        <v>200</v>
      </c>
      <c r="CV15" t="s">
        <v>201</v>
      </c>
      <c r="CW15" t="s">
        <v>202</v>
      </c>
      <c r="CX15" t="s">
        <v>203</v>
      </c>
      <c r="CY15" t="s">
        <v>105</v>
      </c>
      <c r="CZ15" t="s">
        <v>108</v>
      </c>
      <c r="DA15" t="s">
        <v>204</v>
      </c>
      <c r="DB15" t="s">
        <v>205</v>
      </c>
      <c r="DC15" t="s">
        <v>206</v>
      </c>
      <c r="DD15" t="s">
        <v>207</v>
      </c>
      <c r="DE15" t="s">
        <v>208</v>
      </c>
      <c r="DF15" t="s">
        <v>209</v>
      </c>
      <c r="DG15" t="s">
        <v>210</v>
      </c>
      <c r="DH15" t="s">
        <v>211</v>
      </c>
      <c r="DI15" t="s">
        <v>212</v>
      </c>
      <c r="DJ15" t="s">
        <v>213</v>
      </c>
      <c r="DK15" t="s">
        <v>214</v>
      </c>
      <c r="DL15" t="s">
        <v>215</v>
      </c>
      <c r="DM15" t="s">
        <v>216</v>
      </c>
      <c r="DN15" t="s">
        <v>217</v>
      </c>
      <c r="DO15" t="s">
        <v>218</v>
      </c>
      <c r="DP15" t="s">
        <v>219</v>
      </c>
      <c r="DQ15" t="s">
        <v>220</v>
      </c>
      <c r="DR15" t="s">
        <v>221</v>
      </c>
      <c r="DS15" t="s">
        <v>222</v>
      </c>
      <c r="DT15" t="s">
        <v>223</v>
      </c>
      <c r="DU15" t="s">
        <v>224</v>
      </c>
      <c r="DV15" t="s">
        <v>225</v>
      </c>
      <c r="DW15" t="s">
        <v>226</v>
      </c>
      <c r="DX15" t="s">
        <v>227</v>
      </c>
      <c r="DY15" t="s">
        <v>228</v>
      </c>
      <c r="DZ15" t="s">
        <v>229</v>
      </c>
      <c r="EA15" t="s">
        <v>230</v>
      </c>
      <c r="EB15" t="s">
        <v>231</v>
      </c>
      <c r="EC15" t="s">
        <v>232</v>
      </c>
      <c r="ED15" t="s">
        <v>233</v>
      </c>
      <c r="EE15" t="s">
        <v>234</v>
      </c>
      <c r="EF15" t="s">
        <v>235</v>
      </c>
      <c r="EG15" t="s">
        <v>236</v>
      </c>
      <c r="EH15" t="s">
        <v>237</v>
      </c>
      <c r="EI15" t="s">
        <v>238</v>
      </c>
      <c r="EJ15" t="s">
        <v>239</v>
      </c>
      <c r="EK15" t="s">
        <v>240</v>
      </c>
      <c r="EL15" t="s">
        <v>241</v>
      </c>
      <c r="EM15" t="s">
        <v>242</v>
      </c>
      <c r="EN15" t="s">
        <v>243</v>
      </c>
      <c r="EO15" t="s">
        <v>244</v>
      </c>
      <c r="EP15" t="s">
        <v>245</v>
      </c>
      <c r="EQ15" t="s">
        <v>246</v>
      </c>
      <c r="ER15" t="s">
        <v>247</v>
      </c>
      <c r="ES15" t="s">
        <v>248</v>
      </c>
      <c r="ET15" t="s">
        <v>249</v>
      </c>
      <c r="EU15" t="s">
        <v>250</v>
      </c>
      <c r="EV15" t="s">
        <v>251</v>
      </c>
      <c r="EW15" t="s">
        <v>252</v>
      </c>
      <c r="EX15" t="s">
        <v>253</v>
      </c>
      <c r="EY15" t="s">
        <v>254</v>
      </c>
      <c r="EZ15" t="s">
        <v>255</v>
      </c>
      <c r="FA15" t="s">
        <v>256</v>
      </c>
      <c r="FB15" t="s">
        <v>257</v>
      </c>
      <c r="FC15" t="s">
        <v>258</v>
      </c>
      <c r="FD15" t="s">
        <v>259</v>
      </c>
      <c r="FE15" t="s">
        <v>260</v>
      </c>
      <c r="FF15" t="s">
        <v>261</v>
      </c>
      <c r="FG15" t="s">
        <v>262</v>
      </c>
      <c r="FH15" t="s">
        <v>263</v>
      </c>
      <c r="FI15" t="s">
        <v>264</v>
      </c>
      <c r="FJ15" t="s">
        <v>265</v>
      </c>
      <c r="FK15" t="s">
        <v>266</v>
      </c>
      <c r="FL15" t="s">
        <v>267</v>
      </c>
      <c r="FM15" t="s">
        <v>268</v>
      </c>
      <c r="FN15" t="s">
        <v>269</v>
      </c>
      <c r="FO15" t="s">
        <v>270</v>
      </c>
      <c r="FP15" t="s">
        <v>271</v>
      </c>
      <c r="FQ15" t="s">
        <v>272</v>
      </c>
      <c r="FR15" t="s">
        <v>273</v>
      </c>
      <c r="FS15" t="s">
        <v>274</v>
      </c>
      <c r="FT15" t="s">
        <v>275</v>
      </c>
      <c r="FU15" t="s">
        <v>276</v>
      </c>
      <c r="FV15" t="s">
        <v>277</v>
      </c>
      <c r="FW15" t="s">
        <v>278</v>
      </c>
      <c r="FX15" t="s">
        <v>279</v>
      </c>
      <c r="FY15" t="s">
        <v>280</v>
      </c>
      <c r="FZ15" t="s">
        <v>281</v>
      </c>
      <c r="GA15" t="s">
        <v>282</v>
      </c>
      <c r="GB15" t="s">
        <v>283</v>
      </c>
      <c r="GC15" t="s">
        <v>284</v>
      </c>
      <c r="GD15" t="s">
        <v>285</v>
      </c>
      <c r="GE15" t="s">
        <v>286</v>
      </c>
      <c r="GF15" t="s">
        <v>287</v>
      </c>
      <c r="GG15" t="s">
        <v>288</v>
      </c>
      <c r="GH15" t="s">
        <v>289</v>
      </c>
      <c r="GI15" t="s">
        <v>290</v>
      </c>
      <c r="GJ15" t="s">
        <v>291</v>
      </c>
      <c r="GK15" t="s">
        <v>292</v>
      </c>
      <c r="GL15" t="s">
        <v>293</v>
      </c>
      <c r="GM15" t="s">
        <v>294</v>
      </c>
      <c r="GN15" t="s">
        <v>295</v>
      </c>
      <c r="GO15" t="s">
        <v>296</v>
      </c>
      <c r="GP15" t="s">
        <v>297</v>
      </c>
      <c r="GQ15" t="s">
        <v>298</v>
      </c>
      <c r="GR15" t="s">
        <v>299</v>
      </c>
      <c r="GS15" t="s">
        <v>300</v>
      </c>
      <c r="GT15" t="s">
        <v>301</v>
      </c>
      <c r="GU15" t="s">
        <v>302</v>
      </c>
      <c r="GV15" t="s">
        <v>303</v>
      </c>
      <c r="GW15" t="s">
        <v>304</v>
      </c>
      <c r="GX15" t="s">
        <v>305</v>
      </c>
      <c r="GY15" t="s">
        <v>306</v>
      </c>
      <c r="GZ15" t="s">
        <v>307</v>
      </c>
      <c r="HA15" t="s">
        <v>308</v>
      </c>
      <c r="HB15" t="s">
        <v>309</v>
      </c>
      <c r="HC15" t="s">
        <v>310</v>
      </c>
      <c r="HD15" t="s">
        <v>311</v>
      </c>
      <c r="HE15" t="s">
        <v>312</v>
      </c>
      <c r="HF15" t="s">
        <v>313</v>
      </c>
      <c r="HG15" t="s">
        <v>314</v>
      </c>
      <c r="HH15" t="s">
        <v>315</v>
      </c>
      <c r="HI15" t="s">
        <v>316</v>
      </c>
      <c r="HJ15" t="s">
        <v>317</v>
      </c>
      <c r="HK15" t="s">
        <v>318</v>
      </c>
      <c r="HL15" t="s">
        <v>319</v>
      </c>
      <c r="HM15" t="s">
        <v>320</v>
      </c>
      <c r="HN15" t="s">
        <v>321</v>
      </c>
      <c r="HO15" t="s">
        <v>322</v>
      </c>
      <c r="HP15" t="s">
        <v>323</v>
      </c>
    </row>
    <row r="16" spans="1:224">
      <c r="B16" t="s">
        <v>324</v>
      </c>
      <c r="C16" t="s">
        <v>324</v>
      </c>
      <c r="F16" t="s">
        <v>324</v>
      </c>
      <c r="G16" t="s">
        <v>324</v>
      </c>
      <c r="H16" t="s">
        <v>325</v>
      </c>
      <c r="I16" t="s">
        <v>326</v>
      </c>
      <c r="J16" t="s">
        <v>327</v>
      </c>
      <c r="K16" t="s">
        <v>328</v>
      </c>
      <c r="L16" t="s">
        <v>328</v>
      </c>
      <c r="M16" t="s">
        <v>166</v>
      </c>
      <c r="N16" t="s">
        <v>166</v>
      </c>
      <c r="O16" t="s">
        <v>325</v>
      </c>
      <c r="P16" t="s">
        <v>325</v>
      </c>
      <c r="Q16" t="s">
        <v>325</v>
      </c>
      <c r="R16" t="s">
        <v>325</v>
      </c>
      <c r="S16" t="s">
        <v>329</v>
      </c>
      <c r="T16" t="s">
        <v>330</v>
      </c>
      <c r="U16" t="s">
        <v>330</v>
      </c>
      <c r="V16" t="s">
        <v>331</v>
      </c>
      <c r="W16" t="s">
        <v>332</v>
      </c>
      <c r="X16" t="s">
        <v>331</v>
      </c>
      <c r="Y16" t="s">
        <v>331</v>
      </c>
      <c r="Z16" t="s">
        <v>331</v>
      </c>
      <c r="AA16" t="s">
        <v>329</v>
      </c>
      <c r="AB16" t="s">
        <v>329</v>
      </c>
      <c r="AC16" t="s">
        <v>329</v>
      </c>
      <c r="AD16" t="s">
        <v>329</v>
      </c>
      <c r="AE16" t="s">
        <v>327</v>
      </c>
      <c r="AF16" t="s">
        <v>326</v>
      </c>
      <c r="AG16" t="s">
        <v>327</v>
      </c>
      <c r="AH16" t="s">
        <v>328</v>
      </c>
      <c r="AI16" t="s">
        <v>328</v>
      </c>
      <c r="AJ16" t="s">
        <v>333</v>
      </c>
      <c r="AK16" t="s">
        <v>334</v>
      </c>
      <c r="AL16" t="s">
        <v>326</v>
      </c>
      <c r="AM16" t="s">
        <v>335</v>
      </c>
      <c r="AN16" t="s">
        <v>335</v>
      </c>
      <c r="AO16" t="s">
        <v>336</v>
      </c>
      <c r="AP16" t="s">
        <v>334</v>
      </c>
      <c r="AQ16" t="s">
        <v>337</v>
      </c>
      <c r="AR16" t="s">
        <v>332</v>
      </c>
      <c r="AT16" t="s">
        <v>332</v>
      </c>
      <c r="AU16" t="s">
        <v>337</v>
      </c>
      <c r="AV16" t="s">
        <v>327</v>
      </c>
      <c r="AW16" t="s">
        <v>327</v>
      </c>
      <c r="AY16" t="s">
        <v>338</v>
      </c>
      <c r="AZ16" t="s">
        <v>339</v>
      </c>
      <c r="BC16" t="s">
        <v>325</v>
      </c>
      <c r="BE16" t="s">
        <v>324</v>
      </c>
      <c r="BF16" t="s">
        <v>328</v>
      </c>
      <c r="BG16" t="s">
        <v>328</v>
      </c>
      <c r="BH16" t="s">
        <v>335</v>
      </c>
      <c r="BI16" t="s">
        <v>335</v>
      </c>
      <c r="BJ16" t="s">
        <v>328</v>
      </c>
      <c r="BK16" t="s">
        <v>335</v>
      </c>
      <c r="BL16" t="s">
        <v>337</v>
      </c>
      <c r="BM16" t="s">
        <v>331</v>
      </c>
      <c r="BN16" t="s">
        <v>331</v>
      </c>
      <c r="BO16" t="s">
        <v>330</v>
      </c>
      <c r="BP16" t="s">
        <v>330</v>
      </c>
      <c r="BQ16" t="s">
        <v>330</v>
      </c>
      <c r="BR16" t="s">
        <v>330</v>
      </c>
      <c r="BS16" t="s">
        <v>330</v>
      </c>
      <c r="BT16" t="s">
        <v>340</v>
      </c>
      <c r="BU16" t="s">
        <v>327</v>
      </c>
      <c r="BV16" t="s">
        <v>327</v>
      </c>
      <c r="BW16" t="s">
        <v>328</v>
      </c>
      <c r="BX16" t="s">
        <v>328</v>
      </c>
      <c r="BY16" t="s">
        <v>328</v>
      </c>
      <c r="BZ16" t="s">
        <v>335</v>
      </c>
      <c r="CA16" t="s">
        <v>328</v>
      </c>
      <c r="CB16" t="s">
        <v>335</v>
      </c>
      <c r="CC16" t="s">
        <v>331</v>
      </c>
      <c r="CD16" t="s">
        <v>331</v>
      </c>
      <c r="CE16" t="s">
        <v>330</v>
      </c>
      <c r="CF16" t="s">
        <v>330</v>
      </c>
      <c r="CG16" t="s">
        <v>327</v>
      </c>
      <c r="CL16" t="s">
        <v>327</v>
      </c>
      <c r="CO16" t="s">
        <v>330</v>
      </c>
      <c r="CP16" t="s">
        <v>330</v>
      </c>
      <c r="CQ16" t="s">
        <v>330</v>
      </c>
      <c r="CR16" t="s">
        <v>330</v>
      </c>
      <c r="CS16" t="s">
        <v>330</v>
      </c>
      <c r="CT16" t="s">
        <v>327</v>
      </c>
      <c r="CU16" t="s">
        <v>327</v>
      </c>
      <c r="CV16" t="s">
        <v>327</v>
      </c>
      <c r="CW16" t="s">
        <v>324</v>
      </c>
      <c r="CY16" t="s">
        <v>341</v>
      </c>
      <c r="DA16" t="s">
        <v>324</v>
      </c>
      <c r="DB16" t="s">
        <v>324</v>
      </c>
      <c r="DD16" t="s">
        <v>342</v>
      </c>
      <c r="DE16" t="s">
        <v>343</v>
      </c>
      <c r="DF16" t="s">
        <v>342</v>
      </c>
      <c r="DG16" t="s">
        <v>343</v>
      </c>
      <c r="DH16" t="s">
        <v>342</v>
      </c>
      <c r="DI16" t="s">
        <v>343</v>
      </c>
      <c r="DJ16" t="s">
        <v>332</v>
      </c>
      <c r="DK16" t="s">
        <v>332</v>
      </c>
      <c r="DL16" t="s">
        <v>328</v>
      </c>
      <c r="DM16" t="s">
        <v>344</v>
      </c>
      <c r="DN16" t="s">
        <v>328</v>
      </c>
      <c r="DP16" t="s">
        <v>335</v>
      </c>
      <c r="DQ16" t="s">
        <v>345</v>
      </c>
      <c r="DR16" t="s">
        <v>335</v>
      </c>
      <c r="DW16" t="s">
        <v>346</v>
      </c>
      <c r="DX16" t="s">
        <v>346</v>
      </c>
      <c r="EK16" t="s">
        <v>346</v>
      </c>
      <c r="EL16" t="s">
        <v>346</v>
      </c>
      <c r="EM16" t="s">
        <v>347</v>
      </c>
      <c r="EN16" t="s">
        <v>347</v>
      </c>
      <c r="EO16" t="s">
        <v>330</v>
      </c>
      <c r="EP16" t="s">
        <v>330</v>
      </c>
      <c r="EQ16" t="s">
        <v>332</v>
      </c>
      <c r="ER16" t="s">
        <v>330</v>
      </c>
      <c r="ES16" t="s">
        <v>335</v>
      </c>
      <c r="ET16" t="s">
        <v>332</v>
      </c>
      <c r="EU16" t="s">
        <v>332</v>
      </c>
      <c r="EW16" t="s">
        <v>346</v>
      </c>
      <c r="EX16" t="s">
        <v>346</v>
      </c>
      <c r="EY16" t="s">
        <v>346</v>
      </c>
      <c r="EZ16" t="s">
        <v>346</v>
      </c>
      <c r="FA16" t="s">
        <v>346</v>
      </c>
      <c r="FB16" t="s">
        <v>346</v>
      </c>
      <c r="FC16" t="s">
        <v>346</v>
      </c>
      <c r="FD16" t="s">
        <v>348</v>
      </c>
      <c r="FE16" t="s">
        <v>348</v>
      </c>
      <c r="FF16" t="s">
        <v>348</v>
      </c>
      <c r="FG16" t="s">
        <v>349</v>
      </c>
      <c r="FH16" t="s">
        <v>346</v>
      </c>
      <c r="FI16" t="s">
        <v>346</v>
      </c>
      <c r="FJ16" t="s">
        <v>346</v>
      </c>
      <c r="FK16" t="s">
        <v>346</v>
      </c>
      <c r="FL16" t="s">
        <v>346</v>
      </c>
      <c r="FM16" t="s">
        <v>346</v>
      </c>
      <c r="FN16" t="s">
        <v>346</v>
      </c>
      <c r="FO16" t="s">
        <v>346</v>
      </c>
      <c r="FP16" t="s">
        <v>346</v>
      </c>
      <c r="FQ16" t="s">
        <v>346</v>
      </c>
      <c r="FR16" t="s">
        <v>346</v>
      </c>
      <c r="FS16" t="s">
        <v>346</v>
      </c>
      <c r="FZ16" t="s">
        <v>346</v>
      </c>
      <c r="GA16" t="s">
        <v>332</v>
      </c>
      <c r="GB16" t="s">
        <v>332</v>
      </c>
      <c r="GC16" t="s">
        <v>342</v>
      </c>
      <c r="GD16" t="s">
        <v>343</v>
      </c>
      <c r="GE16" t="s">
        <v>342</v>
      </c>
      <c r="GI16" t="s">
        <v>343</v>
      </c>
      <c r="GM16" t="s">
        <v>328</v>
      </c>
      <c r="GN16" t="s">
        <v>328</v>
      </c>
      <c r="GO16" t="s">
        <v>335</v>
      </c>
      <c r="GP16" t="s">
        <v>335</v>
      </c>
      <c r="GQ16" t="s">
        <v>350</v>
      </c>
      <c r="GR16" t="s">
        <v>350</v>
      </c>
      <c r="GS16" t="s">
        <v>346</v>
      </c>
      <c r="GT16" t="s">
        <v>346</v>
      </c>
      <c r="GU16" t="s">
        <v>346</v>
      </c>
      <c r="GV16" t="s">
        <v>346</v>
      </c>
      <c r="GW16" t="s">
        <v>346</v>
      </c>
      <c r="GX16" t="s">
        <v>346</v>
      </c>
      <c r="GY16" t="s">
        <v>330</v>
      </c>
      <c r="GZ16" t="s">
        <v>346</v>
      </c>
      <c r="HB16" t="s">
        <v>337</v>
      </c>
      <c r="HC16" t="s">
        <v>337</v>
      </c>
      <c r="HD16" t="s">
        <v>330</v>
      </c>
      <c r="HE16" t="s">
        <v>330</v>
      </c>
      <c r="HF16" t="s">
        <v>330</v>
      </c>
      <c r="HG16" t="s">
        <v>330</v>
      </c>
      <c r="HH16" t="s">
        <v>330</v>
      </c>
      <c r="HI16" t="s">
        <v>332</v>
      </c>
      <c r="HJ16" t="s">
        <v>332</v>
      </c>
      <c r="HK16" t="s">
        <v>332</v>
      </c>
      <c r="HL16" t="s">
        <v>330</v>
      </c>
      <c r="HM16" t="s">
        <v>328</v>
      </c>
      <c r="HN16" t="s">
        <v>335</v>
      </c>
      <c r="HO16" t="s">
        <v>332</v>
      </c>
      <c r="HP16" t="s">
        <v>332</v>
      </c>
    </row>
    <row r="17" spans="1:224">
      <c r="A17">
        <v>1</v>
      </c>
      <c r="B17">
        <v>1751822386.6</v>
      </c>
      <c r="C17">
        <v>0</v>
      </c>
      <c r="D17" t="s">
        <v>351</v>
      </c>
      <c r="E17" t="s">
        <v>352</v>
      </c>
      <c r="F17">
        <v>15</v>
      </c>
      <c r="G17">
        <v>1751822378.849999</v>
      </c>
      <c r="H17">
        <f>(I17)/1000</f>
        <v>0</v>
      </c>
      <c r="I17">
        <f>IF(BD17, AL17, AF17)</f>
        <v>0</v>
      </c>
      <c r="J17">
        <f>IF(BD17, AG17, AE17)</f>
        <v>0</v>
      </c>
      <c r="K17">
        <f>BF17 - IF(AS17&gt;1, J17*AZ17*100.0/(AU17), 0)</f>
        <v>0</v>
      </c>
      <c r="L17">
        <f>((R17-H17/2)*K17-J17)/(R17+H17/2)</f>
        <v>0</v>
      </c>
      <c r="M17">
        <f>L17*(BM17+BN17)/1000.0</f>
        <v>0</v>
      </c>
      <c r="N17">
        <f>(BF17 - IF(AS17&gt;1, J17*AZ17*100.0/(AU17), 0))*(BM17+BN17)/1000.0</f>
        <v>0</v>
      </c>
      <c r="O17">
        <f>2.0/((1/Q17-1/P17)+SIGN(Q17)*SQRT((1/Q17-1/P17)*(1/Q17-1/P17) + 4*BA17/((BA17+1)*(BA17+1))*(2*1/Q17*1/P17-1/P17*1/P17)))</f>
        <v>0</v>
      </c>
      <c r="P17">
        <f>IF(LEFT(BB17,1)&lt;&gt;"0",IF(LEFT(BB17,1)="1",3.0,BC17),$D$5+$E$5*(BT17*BM17/($K$5*1000))+$F$5*(BT17*BM17/($K$5*1000))*MAX(MIN(AZ17,$J$5),$I$5)*MAX(MIN(AZ17,$J$5),$I$5)+$G$5*MAX(MIN(AZ17,$J$5),$I$5)*(BT17*BM17/($K$5*1000))+$H$5*(BT17*BM17/($K$5*1000))*(BT17*BM17/($K$5*1000)))</f>
        <v>0</v>
      </c>
      <c r="Q17">
        <f>H17*(1000-(1000*0.61365*exp(17.502*U17/(240.97+U17))/(BM17+BN17)+BH17)/2)/(1000*0.61365*exp(17.502*U17/(240.97+U17))/(BM17+BN17)-BH17)</f>
        <v>0</v>
      </c>
      <c r="R17">
        <f>1/((BA17+1)/(O17/1.6)+1/(P17/1.37)) + BA17/((BA17+1)/(O17/1.6) + BA17/(P17/1.37))</f>
        <v>0</v>
      </c>
      <c r="S17">
        <f>(AV17*AY17)</f>
        <v>0</v>
      </c>
      <c r="T17">
        <f>(BO17+(S17+2*0.95*5.67E-8*(((BO17+$B$7)+273)^4-(BO17+273)^4)-44100*H17)/(1.84*29.3*P17+8*0.95*5.67E-8*(BO17+273)^3))</f>
        <v>0</v>
      </c>
      <c r="U17">
        <f>($C$7*BP17+$D$7*BQ17+$E$7*T17)</f>
        <v>0</v>
      </c>
      <c r="V17">
        <f>0.61365*exp(17.502*U17/(240.97+U17))</f>
        <v>0</v>
      </c>
      <c r="W17">
        <f>(X17/Y17*100)</f>
        <v>0</v>
      </c>
      <c r="X17">
        <f>BH17*(BM17+BN17)/1000</f>
        <v>0</v>
      </c>
      <c r="Y17">
        <f>0.61365*exp(17.502*BO17/(240.97+BO17))</f>
        <v>0</v>
      </c>
      <c r="Z17">
        <f>(V17-BH17*(BM17+BN17)/1000)</f>
        <v>0</v>
      </c>
      <c r="AA17">
        <f>(-H17*44100)</f>
        <v>0</v>
      </c>
      <c r="AB17">
        <f>2*29.3*P17*0.92*(BO17-U17)</f>
        <v>0</v>
      </c>
      <c r="AC17">
        <f>2*0.95*5.67E-8*(((BO17+$B$7)+273)^4-(U17+273)^4)</f>
        <v>0</v>
      </c>
      <c r="AD17">
        <f>S17+AC17+AA17+AB17</f>
        <v>0</v>
      </c>
      <c r="AE17">
        <f>BL17*AS17*(BG17-BF17*(1000-AS17*BI17)/(1000-AS17*BH17))/(100*AZ17)</f>
        <v>0</v>
      </c>
      <c r="AF17">
        <f>1000*BL17*AS17*(BH17-BI17)/(100*AZ17*(1000-AS17*BH17))</f>
        <v>0</v>
      </c>
      <c r="AG17">
        <f>(AH17 - AI17 - BM17*1E3/(8.314*(BO17+273.15)) * AK17/BL17 * AJ17) * BL17/(100*AZ17) * (1000 - BI17)/1000</f>
        <v>0</v>
      </c>
      <c r="AH17">
        <v>404.9588239022211</v>
      </c>
      <c r="AI17">
        <v>401.5610545454544</v>
      </c>
      <c r="AJ17">
        <v>0.0004694314448803489</v>
      </c>
      <c r="AK17">
        <v>66.94081045018643</v>
      </c>
      <c r="AL17">
        <f>(AN17 - AM17 + BM17*1E3/(8.314*(BO17+273.15)) * AP17/BL17 * AO17) * BL17/(100*AZ17) * 1000/(1000 - AN17)</f>
        <v>0</v>
      </c>
      <c r="AM17">
        <v>0.3238195164226721</v>
      </c>
      <c r="AN17">
        <v>1.727587151515152</v>
      </c>
      <c r="AO17">
        <v>-0.001457020276876941</v>
      </c>
      <c r="AP17">
        <v>79.74870872045705</v>
      </c>
      <c r="AQ17">
        <v>302</v>
      </c>
      <c r="AR17">
        <v>38</v>
      </c>
      <c r="AS17">
        <f>IF(AQ17*$H$13&gt;=AU17,1.0,(AU17/(AU17-AQ17*$H$13)))</f>
        <v>0</v>
      </c>
      <c r="AT17">
        <f>(AS17-1)*100</f>
        <v>0</v>
      </c>
      <c r="AU17">
        <f>MAX(0,($B$13+$C$13*BT17)/(1+$D$13*BT17)*BM17/(BO17+273)*$E$13)</f>
        <v>0</v>
      </c>
      <c r="AV17">
        <f>$B$11*BU17+$C$11*BV17+$F$11*CG17*(1-CJ17)</f>
        <v>0</v>
      </c>
      <c r="AW17">
        <f>AV17*AX17</f>
        <v>0</v>
      </c>
      <c r="AX17">
        <f>($B$11*$D$9+$C$11*$D$9+$F$11*((CT17+CL17)/MAX(CT17+CL17+CU17, 0.1)*$I$9+CU17/MAX(CT17+CL17+CU17, 0.1)*$J$9))/($B$11+$C$11+$F$11)</f>
        <v>0</v>
      </c>
      <c r="AY17">
        <f>($B$11*$K$9+$C$11*$K$9+$F$11*((CT17+CL17)/MAX(CT17+CL17+CU17, 0.1)*$P$9+CU17/MAX(CT17+CL17+CU17, 0.1)*$Q$9))/($B$11+$C$11+$F$11)</f>
        <v>0</v>
      </c>
      <c r="AZ17">
        <v>6</v>
      </c>
      <c r="BA17">
        <v>0.5</v>
      </c>
      <c r="BB17" t="s">
        <v>353</v>
      </c>
      <c r="BC17">
        <v>2</v>
      </c>
      <c r="BD17" t="b">
        <v>0</v>
      </c>
      <c r="BE17">
        <v>1751822378.849999</v>
      </c>
      <c r="BF17">
        <v>401.2703333333333</v>
      </c>
      <c r="BG17">
        <v>404.7816</v>
      </c>
      <c r="BH17">
        <v>1.909957666666666</v>
      </c>
      <c r="BI17">
        <v>0.3238267666666667</v>
      </c>
      <c r="BJ17">
        <v>400.3893333333334</v>
      </c>
      <c r="BK17">
        <v>2.096957666666666</v>
      </c>
      <c r="BL17">
        <v>800.0147000000002</v>
      </c>
      <c r="BM17">
        <v>101.3781333333333</v>
      </c>
      <c r="BN17">
        <v>0.1001208933333333</v>
      </c>
      <c r="BO17">
        <v>27.73956666666667</v>
      </c>
      <c r="BP17">
        <v>28.00474333333334</v>
      </c>
      <c r="BQ17">
        <v>999.9000000000002</v>
      </c>
      <c r="BR17">
        <v>0</v>
      </c>
      <c r="BS17">
        <v>0</v>
      </c>
      <c r="BT17">
        <v>9995.755000000001</v>
      </c>
      <c r="BU17">
        <v>0</v>
      </c>
      <c r="BV17">
        <v>0.00152894</v>
      </c>
      <c r="BW17">
        <v>-3.934399666666667</v>
      </c>
      <c r="BX17">
        <v>401.5548000000001</v>
      </c>
      <c r="BY17">
        <v>404.9126666666667</v>
      </c>
      <c r="BZ17">
        <v>1.438102</v>
      </c>
      <c r="CA17">
        <v>404.7816</v>
      </c>
      <c r="CB17">
        <v>0.3238267666666667</v>
      </c>
      <c r="CC17">
        <v>0.1786211333333333</v>
      </c>
      <c r="CD17">
        <v>0.03282894333333333</v>
      </c>
      <c r="CE17">
        <v>-15.87374666666667</v>
      </c>
      <c r="CF17">
        <v>-34.53665666666667</v>
      </c>
      <c r="CG17">
        <v>999.9928666666667</v>
      </c>
      <c r="CH17">
        <v>0.9600005999999998</v>
      </c>
      <c r="CI17">
        <v>0.03999910333333333</v>
      </c>
      <c r="CJ17">
        <v>0</v>
      </c>
      <c r="CK17">
        <v>1.3415</v>
      </c>
      <c r="CL17">
        <v>0</v>
      </c>
      <c r="CM17">
        <v>5707.237333333333</v>
      </c>
      <c r="CN17">
        <v>7946.857000000002</v>
      </c>
      <c r="CO17">
        <v>35.875</v>
      </c>
      <c r="CP17">
        <v>38.81199999999999</v>
      </c>
      <c r="CQ17">
        <v>37.11239999999999</v>
      </c>
      <c r="CR17">
        <v>38.10819999999999</v>
      </c>
      <c r="CS17">
        <v>36.312</v>
      </c>
      <c r="CT17">
        <v>959.9933333333333</v>
      </c>
      <c r="CU17">
        <v>40</v>
      </c>
      <c r="CV17">
        <v>0</v>
      </c>
      <c r="CW17">
        <v>1751822405.1</v>
      </c>
      <c r="CX17">
        <v>0</v>
      </c>
      <c r="CY17">
        <v>1751822414.6</v>
      </c>
      <c r="CZ17" t="s">
        <v>354</v>
      </c>
      <c r="DA17">
        <v>1751822411.6</v>
      </c>
      <c r="DB17">
        <v>1751822414.6</v>
      </c>
      <c r="DC17">
        <v>1</v>
      </c>
      <c r="DD17">
        <v>0.424</v>
      </c>
      <c r="DE17">
        <v>0.128</v>
      </c>
      <c r="DF17">
        <v>0.881</v>
      </c>
      <c r="DG17">
        <v>-0.187</v>
      </c>
      <c r="DH17">
        <v>404</v>
      </c>
      <c r="DI17">
        <v>0</v>
      </c>
      <c r="DJ17">
        <v>0.37</v>
      </c>
      <c r="DK17">
        <v>0.05</v>
      </c>
      <c r="DL17">
        <v>-3.94088225</v>
      </c>
      <c r="DM17">
        <v>-0.002571444652907884</v>
      </c>
      <c r="DN17">
        <v>0.02568663110330933</v>
      </c>
      <c r="DO17">
        <v>1</v>
      </c>
      <c r="DP17">
        <v>1.45528875</v>
      </c>
      <c r="DQ17">
        <v>-0.379307729831148</v>
      </c>
      <c r="DR17">
        <v>0.03686246988384662</v>
      </c>
      <c r="DS17">
        <v>0</v>
      </c>
      <c r="DT17">
        <v>1</v>
      </c>
      <c r="DU17">
        <v>2</v>
      </c>
      <c r="DV17" t="s">
        <v>355</v>
      </c>
      <c r="DW17">
        <v>3.44144</v>
      </c>
      <c r="DX17">
        <v>2.78077</v>
      </c>
      <c r="DY17">
        <v>0.0961963</v>
      </c>
      <c r="DZ17">
        <v>0.096942</v>
      </c>
      <c r="EA17">
        <v>0.0163391</v>
      </c>
      <c r="EB17">
        <v>0.00286324</v>
      </c>
      <c r="EC17">
        <v>27097.8</v>
      </c>
      <c r="ED17">
        <v>30803.4</v>
      </c>
      <c r="EE17">
        <v>29131.6</v>
      </c>
      <c r="EF17">
        <v>34707.8</v>
      </c>
      <c r="EG17">
        <v>33161.9</v>
      </c>
      <c r="EH17">
        <v>42826.9</v>
      </c>
      <c r="EI17">
        <v>35858.4</v>
      </c>
      <c r="EJ17">
        <v>45777.3</v>
      </c>
      <c r="EK17">
        <v>2.0003</v>
      </c>
      <c r="EL17">
        <v>2.1631</v>
      </c>
      <c r="EM17">
        <v>0.0667572</v>
      </c>
      <c r="EN17">
        <v>0</v>
      </c>
      <c r="EO17">
        <v>26.9594</v>
      </c>
      <c r="EP17">
        <v>999.9</v>
      </c>
      <c r="EQ17">
        <v>60.9</v>
      </c>
      <c r="ER17">
        <v>25.4</v>
      </c>
      <c r="ES17">
        <v>19.5592</v>
      </c>
      <c r="ET17">
        <v>62.55</v>
      </c>
      <c r="EU17">
        <v>25.8293</v>
      </c>
      <c r="EV17">
        <v>2</v>
      </c>
      <c r="EW17">
        <v>-0.0535722</v>
      </c>
      <c r="EX17">
        <v>0</v>
      </c>
      <c r="EY17">
        <v>20.2924</v>
      </c>
      <c r="EZ17">
        <v>5.20771</v>
      </c>
      <c r="FA17">
        <v>11.9697</v>
      </c>
      <c r="FB17">
        <v>4.991</v>
      </c>
      <c r="FC17">
        <v>3.272</v>
      </c>
      <c r="FD17">
        <v>3802.7</v>
      </c>
      <c r="FE17">
        <v>9999</v>
      </c>
      <c r="FF17">
        <v>9999</v>
      </c>
      <c r="FG17">
        <v>999.9</v>
      </c>
      <c r="FH17">
        <v>4.97261</v>
      </c>
      <c r="FI17">
        <v>1.86279</v>
      </c>
      <c r="FJ17">
        <v>1.86448</v>
      </c>
      <c r="FK17">
        <v>1.86295</v>
      </c>
      <c r="FL17">
        <v>1.86296</v>
      </c>
      <c r="FM17">
        <v>1.86356</v>
      </c>
      <c r="FN17">
        <v>1.86005</v>
      </c>
      <c r="FO17">
        <v>1.86283</v>
      </c>
      <c r="FP17">
        <v>0</v>
      </c>
      <c r="FQ17">
        <v>0</v>
      </c>
      <c r="FR17">
        <v>0</v>
      </c>
      <c r="FS17">
        <v>0</v>
      </c>
      <c r="FT17" t="s">
        <v>356</v>
      </c>
      <c r="FU17" t="s">
        <v>357</v>
      </c>
      <c r="FV17" t="s">
        <v>358</v>
      </c>
      <c r="FW17" t="s">
        <v>358</v>
      </c>
      <c r="FX17" t="s">
        <v>358</v>
      </c>
      <c r="FY17" t="s">
        <v>358</v>
      </c>
      <c r="FZ17">
        <v>0</v>
      </c>
      <c r="GA17">
        <v>100</v>
      </c>
      <c r="GB17">
        <v>100</v>
      </c>
      <c r="GC17">
        <v>0.881</v>
      </c>
      <c r="GD17">
        <v>-0.187</v>
      </c>
      <c r="GE17">
        <v>0.7399870666499324</v>
      </c>
      <c r="GF17">
        <v>-0.001033730503750798</v>
      </c>
      <c r="GG17">
        <v>9.120241388950126E-07</v>
      </c>
      <c r="GH17">
        <v>-2.246115299815222E-10</v>
      </c>
      <c r="GI17">
        <v>-0.305995874016623</v>
      </c>
      <c r="GJ17">
        <v>-0.01814858093373864</v>
      </c>
      <c r="GK17">
        <v>0.002091959988359369</v>
      </c>
      <c r="GL17">
        <v>-1.90871700788604E-05</v>
      </c>
      <c r="GM17">
        <v>2</v>
      </c>
      <c r="GN17">
        <v>2210</v>
      </c>
      <c r="GO17">
        <v>1</v>
      </c>
      <c r="GP17">
        <v>26</v>
      </c>
      <c r="GQ17">
        <v>2798.8</v>
      </c>
      <c r="GR17">
        <v>2806.7</v>
      </c>
      <c r="GS17">
        <v>1.23657</v>
      </c>
      <c r="GT17">
        <v>2.37183</v>
      </c>
      <c r="GU17">
        <v>2.34863</v>
      </c>
      <c r="GV17">
        <v>2.68677</v>
      </c>
      <c r="GW17">
        <v>2.39868</v>
      </c>
      <c r="GX17">
        <v>2.24609</v>
      </c>
      <c r="GY17">
        <v>31.4988</v>
      </c>
      <c r="GZ17">
        <v>16.1371</v>
      </c>
      <c r="HA17">
        <v>18</v>
      </c>
      <c r="HB17">
        <v>475.819</v>
      </c>
      <c r="HC17">
        <v>618.973</v>
      </c>
      <c r="HD17">
        <v>26.9055</v>
      </c>
      <c r="HE17">
        <v>26.7755</v>
      </c>
      <c r="HF17">
        <v>30.0012</v>
      </c>
      <c r="HG17">
        <v>26.4228</v>
      </c>
      <c r="HH17">
        <v>26.3278</v>
      </c>
      <c r="HI17">
        <v>24.8139</v>
      </c>
      <c r="HJ17">
        <v>100</v>
      </c>
      <c r="HK17">
        <v>0</v>
      </c>
      <c r="HL17">
        <v>-999.9</v>
      </c>
      <c r="HM17">
        <v>405</v>
      </c>
      <c r="HN17">
        <v>0</v>
      </c>
      <c r="HO17">
        <v>100.017</v>
      </c>
      <c r="HP17">
        <v>100.11</v>
      </c>
    </row>
    <row r="18" spans="1:224">
      <c r="A18">
        <v>2</v>
      </c>
      <c r="B18">
        <v>1751822483.1</v>
      </c>
      <c r="C18">
        <v>96.5</v>
      </c>
      <c r="D18" t="s">
        <v>359</v>
      </c>
      <c r="E18" t="s">
        <v>360</v>
      </c>
      <c r="F18">
        <v>15</v>
      </c>
      <c r="G18">
        <v>1751822475.349999</v>
      </c>
      <c r="H18">
        <f>(I18)/1000</f>
        <v>0</v>
      </c>
      <c r="I18">
        <f>IF(BD18, AL18, AF18)</f>
        <v>0</v>
      </c>
      <c r="J18">
        <f>IF(BD18, AG18, AE18)</f>
        <v>0</v>
      </c>
      <c r="K18">
        <f>BF18 - IF(AS18&gt;1, J18*AZ18*100.0/(AU18), 0)</f>
        <v>0</v>
      </c>
      <c r="L18">
        <f>((R18-H18/2)*K18-J18)/(R18+H18/2)</f>
        <v>0</v>
      </c>
      <c r="M18">
        <f>L18*(BM18+BN18)/1000.0</f>
        <v>0</v>
      </c>
      <c r="N18">
        <f>(BF18 - IF(AS18&gt;1, J18*AZ18*100.0/(AU18), 0))*(BM18+BN18)/1000.0</f>
        <v>0</v>
      </c>
      <c r="O18">
        <f>2.0/((1/Q18-1/P18)+SIGN(Q18)*SQRT((1/Q18-1/P18)*(1/Q18-1/P18) + 4*BA18/((BA18+1)*(BA18+1))*(2*1/Q18*1/P18-1/P18*1/P18)))</f>
        <v>0</v>
      </c>
      <c r="P18">
        <f>IF(LEFT(BB18,1)&lt;&gt;"0",IF(LEFT(BB18,1)="1",3.0,BC18),$D$5+$E$5*(BT18*BM18/($K$5*1000))+$F$5*(BT18*BM18/($K$5*1000))*MAX(MIN(AZ18,$J$5),$I$5)*MAX(MIN(AZ18,$J$5),$I$5)+$G$5*MAX(MIN(AZ18,$J$5),$I$5)*(BT18*BM18/($K$5*1000))+$H$5*(BT18*BM18/($K$5*1000))*(BT18*BM18/($K$5*1000)))</f>
        <v>0</v>
      </c>
      <c r="Q18">
        <f>H18*(1000-(1000*0.61365*exp(17.502*U18/(240.97+U18))/(BM18+BN18)+BH18)/2)/(1000*0.61365*exp(17.502*U18/(240.97+U18))/(BM18+BN18)-BH18)</f>
        <v>0</v>
      </c>
      <c r="R18">
        <f>1/((BA18+1)/(O18/1.6)+1/(P18/1.37)) + BA18/((BA18+1)/(O18/1.6) + BA18/(P18/1.37))</f>
        <v>0</v>
      </c>
      <c r="S18">
        <f>(AV18*AY18)</f>
        <v>0</v>
      </c>
      <c r="T18">
        <f>(BO18+(S18+2*0.95*5.67E-8*(((BO18+$B$7)+273)^4-(BO18+273)^4)-44100*H18)/(1.84*29.3*P18+8*0.95*5.67E-8*(BO18+273)^3))</f>
        <v>0</v>
      </c>
      <c r="U18">
        <f>($C$7*BP18+$D$7*BQ18+$E$7*T18)</f>
        <v>0</v>
      </c>
      <c r="V18">
        <f>0.61365*exp(17.502*U18/(240.97+U18))</f>
        <v>0</v>
      </c>
      <c r="W18">
        <f>(X18/Y18*100)</f>
        <v>0</v>
      </c>
      <c r="X18">
        <f>BH18*(BM18+BN18)/1000</f>
        <v>0</v>
      </c>
      <c r="Y18">
        <f>0.61365*exp(17.502*BO18/(240.97+BO18))</f>
        <v>0</v>
      </c>
      <c r="Z18">
        <f>(V18-BH18*(BM18+BN18)/1000)</f>
        <v>0</v>
      </c>
      <c r="AA18">
        <f>(-H18*44100)</f>
        <v>0</v>
      </c>
      <c r="AB18">
        <f>2*29.3*P18*0.92*(BO18-U18)</f>
        <v>0</v>
      </c>
      <c r="AC18">
        <f>2*0.95*5.67E-8*(((BO18+$B$7)+273)^4-(U18+273)^4)</f>
        <v>0</v>
      </c>
      <c r="AD18">
        <f>S18+AC18+AA18+AB18</f>
        <v>0</v>
      </c>
      <c r="AE18">
        <f>BL18*AS18*(BG18-BF18*(1000-AS18*BI18)/(1000-AS18*BH18))/(100*AZ18)</f>
        <v>0</v>
      </c>
      <c r="AF18">
        <f>1000*BL18*AS18*(BH18-BI18)/(100*AZ18*(1000-AS18*BH18))</f>
        <v>0</v>
      </c>
      <c r="AG18">
        <f>(AH18 - AI18 - BM18*1E3/(8.314*(BO18+273.15)) * AK18/BL18 * AJ18) * BL18/(100*AZ18) * (1000 - BI18)/1000</f>
        <v>0</v>
      </c>
      <c r="AH18">
        <v>405.0544296826573</v>
      </c>
      <c r="AI18">
        <v>404.8203151515151</v>
      </c>
      <c r="AJ18">
        <v>-0.001599315603886968</v>
      </c>
      <c r="AK18">
        <v>66.94055730043053</v>
      </c>
      <c r="AL18">
        <f>(AN18 - AM18 + BM18*1E3/(8.314*(BO18+273.15)) * AP18/BL18 * AO18) * BL18/(100*AZ18) * 1000/(1000 - AN18)</f>
        <v>0</v>
      </c>
      <c r="AM18">
        <v>0.325728080170002</v>
      </c>
      <c r="AN18">
        <v>1.497178606060606</v>
      </c>
      <c r="AO18">
        <v>-0.00604707584745013</v>
      </c>
      <c r="AP18">
        <v>79.77265476425069</v>
      </c>
      <c r="AQ18">
        <v>3</v>
      </c>
      <c r="AR18">
        <v>0</v>
      </c>
      <c r="AS18">
        <f>IF(AQ18*$H$13&gt;=AU18,1.0,(AU18/(AU18-AQ18*$H$13)))</f>
        <v>0</v>
      </c>
      <c r="AT18">
        <f>(AS18-1)*100</f>
        <v>0</v>
      </c>
      <c r="AU18">
        <f>MAX(0,($B$13+$C$13*BT18)/(1+$D$13*BT18)*BM18/(BO18+273)*$E$13)</f>
        <v>0</v>
      </c>
      <c r="AV18">
        <f>$B$11*BU18+$C$11*BV18+$F$11*CG18*(1-CJ18)</f>
        <v>0</v>
      </c>
      <c r="AW18">
        <f>AV18*AX18</f>
        <v>0</v>
      </c>
      <c r="AX18">
        <f>($B$11*$D$9+$C$11*$D$9+$F$11*((CT18+CL18)/MAX(CT18+CL18+CU18, 0.1)*$I$9+CU18/MAX(CT18+CL18+CU18, 0.1)*$J$9))/($B$11+$C$11+$F$11)</f>
        <v>0</v>
      </c>
      <c r="AY18">
        <f>($B$11*$K$9+$C$11*$K$9+$F$11*((CT18+CL18)/MAX(CT18+CL18+CU18, 0.1)*$P$9+CU18/MAX(CT18+CL18+CU18, 0.1)*$Q$9))/($B$11+$C$11+$F$11)</f>
        <v>0</v>
      </c>
      <c r="AZ18">
        <v>6</v>
      </c>
      <c r="BA18">
        <v>0.5</v>
      </c>
      <c r="BB18" t="s">
        <v>353</v>
      </c>
      <c r="BC18">
        <v>2</v>
      </c>
      <c r="BD18" t="b">
        <v>0</v>
      </c>
      <c r="BE18">
        <v>1751822475.349999</v>
      </c>
      <c r="BF18">
        <v>404.1983666666666</v>
      </c>
      <c r="BG18">
        <v>404.9094666666667</v>
      </c>
      <c r="BH18">
        <v>1.548027</v>
      </c>
      <c r="BI18">
        <v>0.3256967333333334</v>
      </c>
      <c r="BJ18">
        <v>403.3363666666666</v>
      </c>
      <c r="BK18">
        <v>1.751361666666667</v>
      </c>
      <c r="BL18">
        <v>800.0365333333334</v>
      </c>
      <c r="BM18">
        <v>101.3689333333334</v>
      </c>
      <c r="BN18">
        <v>0.09995309666666666</v>
      </c>
      <c r="BO18">
        <v>28.14093</v>
      </c>
      <c r="BP18">
        <v>28.54997666666667</v>
      </c>
      <c r="BQ18">
        <v>999.9000000000002</v>
      </c>
      <c r="BR18">
        <v>0</v>
      </c>
      <c r="BS18">
        <v>0</v>
      </c>
      <c r="BT18">
        <v>10009.164</v>
      </c>
      <c r="BU18">
        <v>0</v>
      </c>
      <c r="BV18">
        <v>0.00152894</v>
      </c>
      <c r="BW18">
        <v>-0.6923604333333333</v>
      </c>
      <c r="BX18">
        <v>404.8437333333333</v>
      </c>
      <c r="BY18">
        <v>405.0413666666666</v>
      </c>
      <c r="BZ18">
        <v>1.222330666666667</v>
      </c>
      <c r="CA18">
        <v>404.9094666666667</v>
      </c>
      <c r="CB18">
        <v>0.3256967333333334</v>
      </c>
      <c r="CC18">
        <v>0.1569218666666667</v>
      </c>
      <c r="CD18">
        <v>0.03301553666666666</v>
      </c>
      <c r="CE18">
        <v>-17.42095666666667</v>
      </c>
      <c r="CF18">
        <v>-34.47937</v>
      </c>
      <c r="CG18">
        <v>1000.0263</v>
      </c>
      <c r="CH18">
        <v>0.9600091666666667</v>
      </c>
      <c r="CI18">
        <v>0.03999098333333332</v>
      </c>
      <c r="CJ18">
        <v>0</v>
      </c>
      <c r="CK18">
        <v>1.910833333333333</v>
      </c>
      <c r="CL18">
        <v>0</v>
      </c>
      <c r="CM18">
        <v>5725.596333333335</v>
      </c>
      <c r="CN18">
        <v>7947.151333333332</v>
      </c>
      <c r="CO18">
        <v>35.7395</v>
      </c>
      <c r="CP18">
        <v>38.62289999999999</v>
      </c>
      <c r="CQ18">
        <v>36.90186666666667</v>
      </c>
      <c r="CR18">
        <v>37.93699999999999</v>
      </c>
      <c r="CS18">
        <v>36.25</v>
      </c>
      <c r="CT18">
        <v>960.0349999999997</v>
      </c>
      <c r="CU18">
        <v>39.99033333333333</v>
      </c>
      <c r="CV18">
        <v>0</v>
      </c>
      <c r="CW18">
        <v>1751822501.7</v>
      </c>
      <c r="CX18">
        <v>0</v>
      </c>
      <c r="CY18">
        <v>1751822500.6</v>
      </c>
      <c r="CZ18" t="s">
        <v>361</v>
      </c>
      <c r="DA18">
        <v>1751822500.6</v>
      </c>
      <c r="DB18">
        <v>1751822414.6</v>
      </c>
      <c r="DC18">
        <v>2</v>
      </c>
      <c r="DD18">
        <v>-0.018</v>
      </c>
      <c r="DE18">
        <v>0.128</v>
      </c>
      <c r="DF18">
        <v>0.862</v>
      </c>
      <c r="DG18">
        <v>-0.187</v>
      </c>
      <c r="DH18">
        <v>405</v>
      </c>
      <c r="DI18">
        <v>0</v>
      </c>
      <c r="DJ18">
        <v>0.35</v>
      </c>
      <c r="DK18">
        <v>0.05</v>
      </c>
      <c r="DL18">
        <v>-0.68643035</v>
      </c>
      <c r="DM18">
        <v>-0.06578082551594666</v>
      </c>
      <c r="DN18">
        <v>0.02208146399647225</v>
      </c>
      <c r="DO18">
        <v>1</v>
      </c>
      <c r="DP18">
        <v>1.2583125</v>
      </c>
      <c r="DQ18">
        <v>-0.6610613133208292</v>
      </c>
      <c r="DR18">
        <v>0.06526568163093065</v>
      </c>
      <c r="DS18">
        <v>0</v>
      </c>
      <c r="DT18">
        <v>1</v>
      </c>
      <c r="DU18">
        <v>2</v>
      </c>
      <c r="DV18" t="s">
        <v>355</v>
      </c>
      <c r="DW18">
        <v>3.44122</v>
      </c>
      <c r="DX18">
        <v>2.78045</v>
      </c>
      <c r="DY18">
        <v>0.096636</v>
      </c>
      <c r="DZ18">
        <v>0.0968589</v>
      </c>
      <c r="EA18">
        <v>0.0136589</v>
      </c>
      <c r="EB18">
        <v>0.00287492</v>
      </c>
      <c r="EC18">
        <v>27072.5</v>
      </c>
      <c r="ED18">
        <v>30793.6</v>
      </c>
      <c r="EE18">
        <v>29119.6</v>
      </c>
      <c r="EF18">
        <v>34694.9</v>
      </c>
      <c r="EG18">
        <v>33238.7</v>
      </c>
      <c r="EH18">
        <v>42810.2</v>
      </c>
      <c r="EI18">
        <v>35843.7</v>
      </c>
      <c r="EJ18">
        <v>45760.2</v>
      </c>
      <c r="EK18">
        <v>2.48585</v>
      </c>
      <c r="EL18">
        <v>2.15555</v>
      </c>
      <c r="EM18">
        <v>0.07618220000000001</v>
      </c>
      <c r="EN18">
        <v>0</v>
      </c>
      <c r="EO18">
        <v>27.3422</v>
      </c>
      <c r="EP18">
        <v>999.9</v>
      </c>
      <c r="EQ18">
        <v>60.1</v>
      </c>
      <c r="ER18">
        <v>25.8</v>
      </c>
      <c r="ES18">
        <v>19.7709</v>
      </c>
      <c r="ET18">
        <v>62.18</v>
      </c>
      <c r="EU18">
        <v>25.7372</v>
      </c>
      <c r="EV18">
        <v>2</v>
      </c>
      <c r="EW18">
        <v>-0.0295503</v>
      </c>
      <c r="EX18">
        <v>0</v>
      </c>
      <c r="EY18">
        <v>20.2923</v>
      </c>
      <c r="EZ18">
        <v>5.2101</v>
      </c>
      <c r="FA18">
        <v>11.9712</v>
      </c>
      <c r="FB18">
        <v>4.98945</v>
      </c>
      <c r="FC18">
        <v>3.272</v>
      </c>
      <c r="FD18">
        <v>3805.8</v>
      </c>
      <c r="FE18">
        <v>9999</v>
      </c>
      <c r="FF18">
        <v>9999</v>
      </c>
      <c r="FG18">
        <v>999.9</v>
      </c>
      <c r="FH18">
        <v>4.97259</v>
      </c>
      <c r="FI18">
        <v>1.86279</v>
      </c>
      <c r="FJ18">
        <v>1.8646</v>
      </c>
      <c r="FK18">
        <v>1.86301</v>
      </c>
      <c r="FL18">
        <v>1.86303</v>
      </c>
      <c r="FM18">
        <v>1.86356</v>
      </c>
      <c r="FN18">
        <v>1.86005</v>
      </c>
      <c r="FO18">
        <v>1.8629</v>
      </c>
      <c r="FP18">
        <v>0</v>
      </c>
      <c r="FQ18">
        <v>0</v>
      </c>
      <c r="FR18">
        <v>0</v>
      </c>
      <c r="FS18">
        <v>0</v>
      </c>
      <c r="FT18" t="s">
        <v>356</v>
      </c>
      <c r="FU18" t="s">
        <v>357</v>
      </c>
      <c r="FV18" t="s">
        <v>358</v>
      </c>
      <c r="FW18" t="s">
        <v>358</v>
      </c>
      <c r="FX18" t="s">
        <v>358</v>
      </c>
      <c r="FY18" t="s">
        <v>358</v>
      </c>
      <c r="FZ18">
        <v>0</v>
      </c>
      <c r="GA18">
        <v>100</v>
      </c>
      <c r="GB18">
        <v>100</v>
      </c>
      <c r="GC18">
        <v>0.862</v>
      </c>
      <c r="GD18">
        <v>-0.2027</v>
      </c>
      <c r="GE18">
        <v>1.163988190197178</v>
      </c>
      <c r="GF18">
        <v>-0.001033730503750798</v>
      </c>
      <c r="GG18">
        <v>9.120241388950126E-07</v>
      </c>
      <c r="GH18">
        <v>-2.246115299815222E-10</v>
      </c>
      <c r="GI18">
        <v>-0.177866494642997</v>
      </c>
      <c r="GJ18">
        <v>-0.01814858093373864</v>
      </c>
      <c r="GK18">
        <v>0.002091959988359369</v>
      </c>
      <c r="GL18">
        <v>-1.90871700788604E-05</v>
      </c>
      <c r="GM18">
        <v>2</v>
      </c>
      <c r="GN18">
        <v>2210</v>
      </c>
      <c r="GO18">
        <v>1</v>
      </c>
      <c r="GP18">
        <v>26</v>
      </c>
      <c r="GQ18">
        <v>1.2</v>
      </c>
      <c r="GR18">
        <v>1.1</v>
      </c>
      <c r="GS18">
        <v>1.24268</v>
      </c>
      <c r="GT18">
        <v>2.36938</v>
      </c>
      <c r="GU18">
        <v>2.34741</v>
      </c>
      <c r="GV18">
        <v>2.69043</v>
      </c>
      <c r="GW18">
        <v>2.39868</v>
      </c>
      <c r="GX18">
        <v>2.25708</v>
      </c>
      <c r="GY18">
        <v>31.8488</v>
      </c>
      <c r="GZ18">
        <v>16.1371</v>
      </c>
      <c r="HA18">
        <v>18</v>
      </c>
      <c r="HB18">
        <v>829.005</v>
      </c>
      <c r="HC18">
        <v>617.071</v>
      </c>
      <c r="HD18">
        <v>27.3295</v>
      </c>
      <c r="HE18">
        <v>27.0848</v>
      </c>
      <c r="HF18">
        <v>30.0014</v>
      </c>
      <c r="HG18">
        <v>26.7482</v>
      </c>
      <c r="HH18">
        <v>26.6875</v>
      </c>
      <c r="HI18">
        <v>24.9237</v>
      </c>
      <c r="HJ18">
        <v>100</v>
      </c>
      <c r="HK18">
        <v>0</v>
      </c>
      <c r="HL18">
        <v>-999.9</v>
      </c>
      <c r="HM18">
        <v>405</v>
      </c>
      <c r="HN18">
        <v>0</v>
      </c>
      <c r="HO18">
        <v>99.9764</v>
      </c>
      <c r="HP18">
        <v>100.073</v>
      </c>
    </row>
    <row r="19" spans="1:224">
      <c r="A19">
        <v>3</v>
      </c>
      <c r="B19">
        <v>1751822596.6</v>
      </c>
      <c r="C19">
        <v>210</v>
      </c>
      <c r="D19" t="s">
        <v>362</v>
      </c>
      <c r="E19" t="s">
        <v>363</v>
      </c>
      <c r="F19">
        <v>15</v>
      </c>
      <c r="G19">
        <v>1751822588.599999</v>
      </c>
      <c r="H19">
        <f>(I19)/1000</f>
        <v>0</v>
      </c>
      <c r="I19">
        <f>IF(BD19, AL19, AF19)</f>
        <v>0</v>
      </c>
      <c r="J19">
        <f>IF(BD19, AG19, AE19)</f>
        <v>0</v>
      </c>
      <c r="K19">
        <f>BF19 - IF(AS19&gt;1, J19*AZ19*100.0/(AU19), 0)</f>
        <v>0</v>
      </c>
      <c r="L19">
        <f>((R19-H19/2)*K19-J19)/(R19+H19/2)</f>
        <v>0</v>
      </c>
      <c r="M19">
        <f>L19*(BM19+BN19)/1000.0</f>
        <v>0</v>
      </c>
      <c r="N19">
        <f>(BF19 - IF(AS19&gt;1, J19*AZ19*100.0/(AU19), 0))*(BM19+BN19)/1000.0</f>
        <v>0</v>
      </c>
      <c r="O19">
        <f>2.0/((1/Q19-1/P19)+SIGN(Q19)*SQRT((1/Q19-1/P19)*(1/Q19-1/P19) + 4*BA19/((BA19+1)*(BA19+1))*(2*1/Q19*1/P19-1/P19*1/P19)))</f>
        <v>0</v>
      </c>
      <c r="P19">
        <f>IF(LEFT(BB19,1)&lt;&gt;"0",IF(LEFT(BB19,1)="1",3.0,BC19),$D$5+$E$5*(BT19*BM19/($K$5*1000))+$F$5*(BT19*BM19/($K$5*1000))*MAX(MIN(AZ19,$J$5),$I$5)*MAX(MIN(AZ19,$J$5),$I$5)+$G$5*MAX(MIN(AZ19,$J$5),$I$5)*(BT19*BM19/($K$5*1000))+$H$5*(BT19*BM19/($K$5*1000))*(BT19*BM19/($K$5*1000)))</f>
        <v>0</v>
      </c>
      <c r="Q19">
        <f>H19*(1000-(1000*0.61365*exp(17.502*U19/(240.97+U19))/(BM19+BN19)+BH19)/2)/(1000*0.61365*exp(17.502*U19/(240.97+U19))/(BM19+BN19)-BH19)</f>
        <v>0</v>
      </c>
      <c r="R19">
        <f>1/((BA19+1)/(O19/1.6)+1/(P19/1.37)) + BA19/((BA19+1)/(O19/1.6) + BA19/(P19/1.37))</f>
        <v>0</v>
      </c>
      <c r="S19">
        <f>(AV19*AY19)</f>
        <v>0</v>
      </c>
      <c r="T19">
        <f>(BO19+(S19+2*0.95*5.67E-8*(((BO19+$B$7)+273)^4-(BO19+273)^4)-44100*H19)/(1.84*29.3*P19+8*0.95*5.67E-8*(BO19+273)^3))</f>
        <v>0</v>
      </c>
      <c r="U19">
        <f>($C$7*BP19+$D$7*BQ19+$E$7*T19)</f>
        <v>0</v>
      </c>
      <c r="V19">
        <f>0.61365*exp(17.502*U19/(240.97+U19))</f>
        <v>0</v>
      </c>
      <c r="W19">
        <f>(X19/Y19*100)</f>
        <v>0</v>
      </c>
      <c r="X19">
        <f>BH19*(BM19+BN19)/1000</f>
        <v>0</v>
      </c>
      <c r="Y19">
        <f>0.61365*exp(17.502*BO19/(240.97+BO19))</f>
        <v>0</v>
      </c>
      <c r="Z19">
        <f>(V19-BH19*(BM19+BN19)/1000)</f>
        <v>0</v>
      </c>
      <c r="AA19">
        <f>(-H19*44100)</f>
        <v>0</v>
      </c>
      <c r="AB19">
        <f>2*29.3*P19*0.92*(BO19-U19)</f>
        <v>0</v>
      </c>
      <c r="AC19">
        <f>2*0.95*5.67E-8*(((BO19+$B$7)+273)^4-(U19+273)^4)</f>
        <v>0</v>
      </c>
      <c r="AD19">
        <f>S19+AC19+AA19+AB19</f>
        <v>0</v>
      </c>
      <c r="AE19">
        <f>BL19*AS19*(BG19-BF19*(1000-AS19*BI19)/(1000-AS19*BH19))/(100*AZ19)</f>
        <v>0</v>
      </c>
      <c r="AF19">
        <f>1000*BL19*AS19*(BH19-BI19)/(100*AZ19*(1000-AS19*BH19))</f>
        <v>0</v>
      </c>
      <c r="AG19">
        <f>(AH19 - AI19 - BM19*1E3/(8.314*(BO19+273.15)) * AK19/BL19 * AJ19) * BL19/(100*AZ19) * (1000 - BI19)/1000</f>
        <v>0</v>
      </c>
      <c r="AH19">
        <v>405.0800705731948</v>
      </c>
      <c r="AI19">
        <v>403.735115151515</v>
      </c>
      <c r="AJ19">
        <v>0.0006214894542523187</v>
      </c>
      <c r="AK19">
        <v>66.94074920355456</v>
      </c>
      <c r="AL19">
        <f>(AN19 - AM19 + BM19*1E3/(8.314*(BO19+273.15)) * AP19/BL19 * AO19) * BL19/(100*AZ19) * 1000/(1000 - AN19)</f>
        <v>0</v>
      </c>
      <c r="AM19">
        <v>0.3280181704789457</v>
      </c>
      <c r="AN19">
        <v>1.43296303030303</v>
      </c>
      <c r="AO19">
        <v>-0.005835156656702055</v>
      </c>
      <c r="AP19">
        <v>79.71551268997437</v>
      </c>
      <c r="AQ19">
        <v>0</v>
      </c>
      <c r="AR19">
        <v>0</v>
      </c>
      <c r="AS19">
        <f>IF(AQ19*$H$13&gt;=AU19,1.0,(AU19/(AU19-AQ19*$H$13)))</f>
        <v>0</v>
      </c>
      <c r="AT19">
        <f>(AS19-1)*100</f>
        <v>0</v>
      </c>
      <c r="AU19">
        <f>MAX(0,($B$13+$C$13*BT19)/(1+$D$13*BT19)*BM19/(BO19+273)*$E$13)</f>
        <v>0</v>
      </c>
      <c r="AV19">
        <f>$B$11*BU19+$C$11*BV19+$F$11*CG19*(1-CJ19)</f>
        <v>0</v>
      </c>
      <c r="AW19">
        <f>AV19*AX19</f>
        <v>0</v>
      </c>
      <c r="AX19">
        <f>($B$11*$D$9+$C$11*$D$9+$F$11*((CT19+CL19)/MAX(CT19+CL19+CU19, 0.1)*$I$9+CU19/MAX(CT19+CL19+CU19, 0.1)*$J$9))/($B$11+$C$11+$F$11)</f>
        <v>0</v>
      </c>
      <c r="AY19">
        <f>($B$11*$K$9+$C$11*$K$9+$F$11*((CT19+CL19)/MAX(CT19+CL19+CU19, 0.1)*$P$9+CU19/MAX(CT19+CL19+CU19, 0.1)*$Q$9))/($B$11+$C$11+$F$11)</f>
        <v>0</v>
      </c>
      <c r="AZ19">
        <v>6</v>
      </c>
      <c r="BA19">
        <v>0.5</v>
      </c>
      <c r="BB19" t="s">
        <v>353</v>
      </c>
      <c r="BC19">
        <v>2</v>
      </c>
      <c r="BD19" t="b">
        <v>0</v>
      </c>
      <c r="BE19">
        <v>1751822588.599999</v>
      </c>
      <c r="BF19">
        <v>403.031870967742</v>
      </c>
      <c r="BG19">
        <v>404.9433548387096</v>
      </c>
      <c r="BH19">
        <v>1.488765161290323</v>
      </c>
      <c r="BI19">
        <v>0.3280198064516129</v>
      </c>
      <c r="BJ19">
        <v>402.258870967742</v>
      </c>
      <c r="BK19">
        <v>1.691431612903226</v>
      </c>
      <c r="BL19">
        <v>800.0237741935485</v>
      </c>
      <c r="BM19">
        <v>101.3691612903226</v>
      </c>
      <c r="BN19">
        <v>0.1002866677419355</v>
      </c>
      <c r="BO19">
        <v>28.54466774193549</v>
      </c>
      <c r="BP19">
        <v>28.47620967741935</v>
      </c>
      <c r="BQ19">
        <v>999.9000000000003</v>
      </c>
      <c r="BR19">
        <v>0</v>
      </c>
      <c r="BS19">
        <v>0</v>
      </c>
      <c r="BT19">
        <v>10002.54129032258</v>
      </c>
      <c r="BU19">
        <v>0</v>
      </c>
      <c r="BV19">
        <v>0.00152894</v>
      </c>
      <c r="BW19">
        <v>-1.821897096774194</v>
      </c>
      <c r="BX19">
        <v>403.7225806451613</v>
      </c>
      <c r="BY19">
        <v>405.0762258064515</v>
      </c>
      <c r="BZ19">
        <v>1.160746451612903</v>
      </c>
      <c r="CA19">
        <v>404.9433548387096</v>
      </c>
      <c r="CB19">
        <v>0.3280198064516129</v>
      </c>
      <c r="CC19">
        <v>0.1509149677419355</v>
      </c>
      <c r="CD19">
        <v>0.03325109032258065</v>
      </c>
      <c r="CE19">
        <v>-17.88525161290323</v>
      </c>
      <c r="CF19">
        <v>-34.40747419354839</v>
      </c>
      <c r="CG19">
        <v>999.7597741935484</v>
      </c>
      <c r="CH19">
        <v>0.9600176451612904</v>
      </c>
      <c r="CI19">
        <v>0.03998249032258065</v>
      </c>
      <c r="CJ19">
        <v>0</v>
      </c>
      <c r="CK19">
        <v>-0.3204838709677419</v>
      </c>
      <c r="CL19">
        <v>0</v>
      </c>
      <c r="CM19">
        <v>4607.343548387096</v>
      </c>
      <c r="CN19">
        <v>7945.062903225808</v>
      </c>
      <c r="CO19">
        <v>35.56199999999999</v>
      </c>
      <c r="CP19">
        <v>38.5</v>
      </c>
      <c r="CQ19">
        <v>36.81199999999998</v>
      </c>
      <c r="CR19">
        <v>37.81403225806451</v>
      </c>
      <c r="CS19">
        <v>36.18299999999999</v>
      </c>
      <c r="CT19">
        <v>959.7864516129033</v>
      </c>
      <c r="CU19">
        <v>39.97354838709677</v>
      </c>
      <c r="CV19">
        <v>0</v>
      </c>
      <c r="CW19">
        <v>1751822615.1</v>
      </c>
      <c r="CX19">
        <v>0</v>
      </c>
      <c r="CY19">
        <v>1751822625.1</v>
      </c>
      <c r="CZ19" t="s">
        <v>364</v>
      </c>
      <c r="DA19">
        <v>1751822625.1</v>
      </c>
      <c r="DB19">
        <v>1751822414.6</v>
      </c>
      <c r="DC19">
        <v>3</v>
      </c>
      <c r="DD19">
        <v>-0.089</v>
      </c>
      <c r="DE19">
        <v>0.128</v>
      </c>
      <c r="DF19">
        <v>0.773</v>
      </c>
      <c r="DG19">
        <v>-0.187</v>
      </c>
      <c r="DH19">
        <v>405</v>
      </c>
      <c r="DI19">
        <v>0</v>
      </c>
      <c r="DJ19">
        <v>0.44</v>
      </c>
      <c r="DK19">
        <v>0.05</v>
      </c>
      <c r="DL19">
        <v>-1.83038325</v>
      </c>
      <c r="DM19">
        <v>0.2289186866791793</v>
      </c>
      <c r="DN19">
        <v>0.03851793013568487</v>
      </c>
      <c r="DO19">
        <v>0</v>
      </c>
      <c r="DP19">
        <v>1.21101825</v>
      </c>
      <c r="DQ19">
        <v>-0.898305703564733</v>
      </c>
      <c r="DR19">
        <v>0.08864899375874211</v>
      </c>
      <c r="DS19">
        <v>0</v>
      </c>
      <c r="DT19">
        <v>0</v>
      </c>
      <c r="DU19">
        <v>2</v>
      </c>
      <c r="DV19" t="s">
        <v>365</v>
      </c>
      <c r="DW19">
        <v>3.44144</v>
      </c>
      <c r="DX19">
        <v>2.78088</v>
      </c>
      <c r="DY19">
        <v>0.0963519</v>
      </c>
      <c r="DZ19">
        <v>0.0967758</v>
      </c>
      <c r="EA19">
        <v>0.0131942</v>
      </c>
      <c r="EB19">
        <v>0.0028919</v>
      </c>
      <c r="EC19">
        <v>27068.3</v>
      </c>
      <c r="ED19">
        <v>30782.3</v>
      </c>
      <c r="EE19">
        <v>29107.1</v>
      </c>
      <c r="EF19">
        <v>34680.7</v>
      </c>
      <c r="EG19">
        <v>33240.1</v>
      </c>
      <c r="EH19">
        <v>42791.5</v>
      </c>
      <c r="EI19">
        <v>35828.5</v>
      </c>
      <c r="EJ19">
        <v>45741.2</v>
      </c>
      <c r="EK19">
        <v>2.49748</v>
      </c>
      <c r="EL19">
        <v>2.14715</v>
      </c>
      <c r="EM19">
        <v>0.0379048</v>
      </c>
      <c r="EN19">
        <v>0</v>
      </c>
      <c r="EO19">
        <v>27.8654</v>
      </c>
      <c r="EP19">
        <v>999.9</v>
      </c>
      <c r="EQ19">
        <v>59.1</v>
      </c>
      <c r="ER19">
        <v>26.1</v>
      </c>
      <c r="ES19">
        <v>19.7893</v>
      </c>
      <c r="ET19">
        <v>62.04</v>
      </c>
      <c r="EU19">
        <v>25.645</v>
      </c>
      <c r="EV19">
        <v>2</v>
      </c>
      <c r="EW19">
        <v>-0.00174289</v>
      </c>
      <c r="EX19">
        <v>0</v>
      </c>
      <c r="EY19">
        <v>20.2921</v>
      </c>
      <c r="EZ19">
        <v>5.2095</v>
      </c>
      <c r="FA19">
        <v>11.973</v>
      </c>
      <c r="FB19">
        <v>4.99045</v>
      </c>
      <c r="FC19">
        <v>3.272</v>
      </c>
      <c r="FD19">
        <v>3808.9</v>
      </c>
      <c r="FE19">
        <v>9999</v>
      </c>
      <c r="FF19">
        <v>9999</v>
      </c>
      <c r="FG19">
        <v>999.9</v>
      </c>
      <c r="FH19">
        <v>4.97263</v>
      </c>
      <c r="FI19">
        <v>1.86279</v>
      </c>
      <c r="FJ19">
        <v>1.86462</v>
      </c>
      <c r="FK19">
        <v>1.8631</v>
      </c>
      <c r="FL19">
        <v>1.8631</v>
      </c>
      <c r="FM19">
        <v>1.86359</v>
      </c>
      <c r="FN19">
        <v>1.86007</v>
      </c>
      <c r="FO19">
        <v>1.86292</v>
      </c>
      <c r="FP19">
        <v>0</v>
      </c>
      <c r="FQ19">
        <v>0</v>
      </c>
      <c r="FR19">
        <v>0</v>
      </c>
      <c r="FS19">
        <v>0</v>
      </c>
      <c r="FT19" t="s">
        <v>356</v>
      </c>
      <c r="FU19" t="s">
        <v>357</v>
      </c>
      <c r="FV19" t="s">
        <v>358</v>
      </c>
      <c r="FW19" t="s">
        <v>358</v>
      </c>
      <c r="FX19" t="s">
        <v>358</v>
      </c>
      <c r="FY19" t="s">
        <v>358</v>
      </c>
      <c r="FZ19">
        <v>0</v>
      </c>
      <c r="GA19">
        <v>100</v>
      </c>
      <c r="GB19">
        <v>100</v>
      </c>
      <c r="GC19">
        <v>0.773</v>
      </c>
      <c r="GD19">
        <v>-0.2021</v>
      </c>
      <c r="GE19">
        <v>1.145481991955189</v>
      </c>
      <c r="GF19">
        <v>-0.001033730503750798</v>
      </c>
      <c r="GG19">
        <v>9.120241388950126E-07</v>
      </c>
      <c r="GH19">
        <v>-2.246115299815222E-10</v>
      </c>
      <c r="GI19">
        <v>-0.177866494642997</v>
      </c>
      <c r="GJ19">
        <v>-0.01814858093373864</v>
      </c>
      <c r="GK19">
        <v>0.002091959988359369</v>
      </c>
      <c r="GL19">
        <v>-1.90871700788604E-05</v>
      </c>
      <c r="GM19">
        <v>2</v>
      </c>
      <c r="GN19">
        <v>2210</v>
      </c>
      <c r="GO19">
        <v>1</v>
      </c>
      <c r="GP19">
        <v>26</v>
      </c>
      <c r="GQ19">
        <v>1.6</v>
      </c>
      <c r="GR19">
        <v>3</v>
      </c>
      <c r="GS19">
        <v>1.24634</v>
      </c>
      <c r="GT19">
        <v>2.37793</v>
      </c>
      <c r="GU19">
        <v>2.34741</v>
      </c>
      <c r="GV19">
        <v>2.68799</v>
      </c>
      <c r="GW19">
        <v>2.39868</v>
      </c>
      <c r="GX19">
        <v>2.29248</v>
      </c>
      <c r="GY19">
        <v>32.2225</v>
      </c>
      <c r="GZ19">
        <v>16.1284</v>
      </c>
      <c r="HA19">
        <v>18</v>
      </c>
      <c r="HB19">
        <v>844.914</v>
      </c>
      <c r="HC19">
        <v>614.725</v>
      </c>
      <c r="HD19">
        <v>27.7953</v>
      </c>
      <c r="HE19">
        <v>27.4476</v>
      </c>
      <c r="HF19">
        <v>30.001</v>
      </c>
      <c r="HG19">
        <v>27.1267</v>
      </c>
      <c r="HH19">
        <v>27.0702</v>
      </c>
      <c r="HI19">
        <v>24.993</v>
      </c>
      <c r="HJ19">
        <v>100</v>
      </c>
      <c r="HK19">
        <v>0</v>
      </c>
      <c r="HL19">
        <v>-999.9</v>
      </c>
      <c r="HM19">
        <v>405</v>
      </c>
      <c r="HN19">
        <v>0</v>
      </c>
      <c r="HO19">
        <v>99.93380000000001</v>
      </c>
      <c r="HP19">
        <v>100.032</v>
      </c>
    </row>
    <row r="20" spans="1:224">
      <c r="A20">
        <v>4</v>
      </c>
      <c r="B20">
        <v>1751822702.6</v>
      </c>
      <c r="C20">
        <v>316</v>
      </c>
      <c r="D20" t="s">
        <v>366</v>
      </c>
      <c r="E20" t="s">
        <v>367</v>
      </c>
      <c r="F20">
        <v>15</v>
      </c>
      <c r="G20">
        <v>1751822694.849999</v>
      </c>
      <c r="H20">
        <f>(I20)/1000</f>
        <v>0</v>
      </c>
      <c r="I20">
        <f>IF(BD20, AL20, AF20)</f>
        <v>0</v>
      </c>
      <c r="J20">
        <f>IF(BD20, AG20, AE20)</f>
        <v>0</v>
      </c>
      <c r="K20">
        <f>BF20 - IF(AS20&gt;1, J20*AZ20*100.0/(AU20), 0)</f>
        <v>0</v>
      </c>
      <c r="L20">
        <f>((R20-H20/2)*K20-J20)/(R20+H20/2)</f>
        <v>0</v>
      </c>
      <c r="M20">
        <f>L20*(BM20+BN20)/1000.0</f>
        <v>0</v>
      </c>
      <c r="N20">
        <f>(BF20 - IF(AS20&gt;1, J20*AZ20*100.0/(AU20), 0))*(BM20+BN20)/1000.0</f>
        <v>0</v>
      </c>
      <c r="O20">
        <f>2.0/((1/Q20-1/P20)+SIGN(Q20)*SQRT((1/Q20-1/P20)*(1/Q20-1/P20) + 4*BA20/((BA20+1)*(BA20+1))*(2*1/Q20*1/P20-1/P20*1/P20)))</f>
        <v>0</v>
      </c>
      <c r="P20">
        <f>IF(LEFT(BB20,1)&lt;&gt;"0",IF(LEFT(BB20,1)="1",3.0,BC20),$D$5+$E$5*(BT20*BM20/($K$5*1000))+$F$5*(BT20*BM20/($K$5*1000))*MAX(MIN(AZ20,$J$5),$I$5)*MAX(MIN(AZ20,$J$5),$I$5)+$G$5*MAX(MIN(AZ20,$J$5),$I$5)*(BT20*BM20/($K$5*1000))+$H$5*(BT20*BM20/($K$5*1000))*(BT20*BM20/($K$5*1000)))</f>
        <v>0</v>
      </c>
      <c r="Q20">
        <f>H20*(1000-(1000*0.61365*exp(17.502*U20/(240.97+U20))/(BM20+BN20)+BH20)/2)/(1000*0.61365*exp(17.502*U20/(240.97+U20))/(BM20+BN20)-BH20)</f>
        <v>0</v>
      </c>
      <c r="R20">
        <f>1/((BA20+1)/(O20/1.6)+1/(P20/1.37)) + BA20/((BA20+1)/(O20/1.6) + BA20/(P20/1.37))</f>
        <v>0</v>
      </c>
      <c r="S20">
        <f>(AV20*AY20)</f>
        <v>0</v>
      </c>
      <c r="T20">
        <f>(BO20+(S20+2*0.95*5.67E-8*(((BO20+$B$7)+273)^4-(BO20+273)^4)-44100*H20)/(1.84*29.3*P20+8*0.95*5.67E-8*(BO20+273)^3))</f>
        <v>0</v>
      </c>
      <c r="U20">
        <f>($C$7*BP20+$D$7*BQ20+$E$7*T20)</f>
        <v>0</v>
      </c>
      <c r="V20">
        <f>0.61365*exp(17.502*U20/(240.97+U20))</f>
        <v>0</v>
      </c>
      <c r="W20">
        <f>(X20/Y20*100)</f>
        <v>0</v>
      </c>
      <c r="X20">
        <f>BH20*(BM20+BN20)/1000</f>
        <v>0</v>
      </c>
      <c r="Y20">
        <f>0.61365*exp(17.502*BO20/(240.97+BO20))</f>
        <v>0</v>
      </c>
      <c r="Z20">
        <f>(V20-BH20*(BM20+BN20)/1000)</f>
        <v>0</v>
      </c>
      <c r="AA20">
        <f>(-H20*44100)</f>
        <v>0</v>
      </c>
      <c r="AB20">
        <f>2*29.3*P20*0.92*(BO20-U20)</f>
        <v>0</v>
      </c>
      <c r="AC20">
        <f>2*0.95*5.67E-8*(((BO20+$B$7)+273)^4-(U20+273)^4)</f>
        <v>0</v>
      </c>
      <c r="AD20">
        <f>S20+AC20+AA20+AB20</f>
        <v>0</v>
      </c>
      <c r="AE20">
        <f>BL20*AS20*(BG20-BF20*(1000-AS20*BI20)/(1000-AS20*BH20))/(100*AZ20)</f>
        <v>0</v>
      </c>
      <c r="AF20">
        <f>1000*BL20*AS20*(BH20-BI20)/(100*AZ20*(1000-AS20*BH20))</f>
        <v>0</v>
      </c>
      <c r="AG20">
        <f>(AH20 - AI20 - BM20*1E3/(8.314*(BO20+273.15)) * AK20/BL20 * AJ20) * BL20/(100*AZ20) * (1000 - BI20)/1000</f>
        <v>0</v>
      </c>
      <c r="AH20">
        <v>405.0780429031676</v>
      </c>
      <c r="AI20">
        <v>404.7605878787878</v>
      </c>
      <c r="AJ20">
        <v>-0.000516941030040785</v>
      </c>
      <c r="AK20">
        <v>66.94056695565401</v>
      </c>
      <c r="AL20">
        <f>(AN20 - AM20 + BM20*1E3/(8.314*(BO20+273.15)) * AP20/BL20 * AO20) * BL20/(100*AZ20) * 1000/(1000 - AN20)</f>
        <v>0</v>
      </c>
      <c r="AM20">
        <v>0.3315130237459947</v>
      </c>
      <c r="AN20">
        <v>1.185225151515151</v>
      </c>
      <c r="AO20">
        <v>-0.005457689513143349</v>
      </c>
      <c r="AP20">
        <v>79.72827605795923</v>
      </c>
      <c r="AQ20">
        <v>25</v>
      </c>
      <c r="AR20">
        <v>3</v>
      </c>
      <c r="AS20">
        <f>IF(AQ20*$H$13&gt;=AU20,1.0,(AU20/(AU20-AQ20*$H$13)))</f>
        <v>0</v>
      </c>
      <c r="AT20">
        <f>(AS20-1)*100</f>
        <v>0</v>
      </c>
      <c r="AU20">
        <f>MAX(0,($B$13+$C$13*BT20)/(1+$D$13*BT20)*BM20/(BO20+273)*$E$13)</f>
        <v>0</v>
      </c>
      <c r="AV20">
        <f>$B$11*BU20+$C$11*BV20+$F$11*CG20*(1-CJ20)</f>
        <v>0</v>
      </c>
      <c r="AW20">
        <f>AV20*AX20</f>
        <v>0</v>
      </c>
      <c r="AX20">
        <f>($B$11*$D$9+$C$11*$D$9+$F$11*((CT20+CL20)/MAX(CT20+CL20+CU20, 0.1)*$I$9+CU20/MAX(CT20+CL20+CU20, 0.1)*$J$9))/($B$11+$C$11+$F$11)</f>
        <v>0</v>
      </c>
      <c r="AY20">
        <f>($B$11*$K$9+$C$11*$K$9+$F$11*((CT20+CL20)/MAX(CT20+CL20+CU20, 0.1)*$P$9+CU20/MAX(CT20+CL20+CU20, 0.1)*$Q$9))/($B$11+$C$11+$F$11)</f>
        <v>0</v>
      </c>
      <c r="AZ20">
        <v>6</v>
      </c>
      <c r="BA20">
        <v>0.5</v>
      </c>
      <c r="BB20" t="s">
        <v>353</v>
      </c>
      <c r="BC20">
        <v>2</v>
      </c>
      <c r="BD20" t="b">
        <v>0</v>
      </c>
      <c r="BE20">
        <v>1751822694.849999</v>
      </c>
      <c r="BF20">
        <v>404.2473333333334</v>
      </c>
      <c r="BG20">
        <v>404.9494333333333</v>
      </c>
      <c r="BH20">
        <v>1.247693333333333</v>
      </c>
      <c r="BI20">
        <v>0.3312799</v>
      </c>
      <c r="BJ20">
        <v>403.5093333333334</v>
      </c>
      <c r="BK20">
        <v>1.433693333333333</v>
      </c>
      <c r="BL20">
        <v>800.0136</v>
      </c>
      <c r="BM20">
        <v>101.3699666666666</v>
      </c>
      <c r="BN20">
        <v>0.1000894633333333</v>
      </c>
      <c r="BO20">
        <v>28.91330333333334</v>
      </c>
      <c r="BP20">
        <v>29.1525</v>
      </c>
      <c r="BQ20">
        <v>999.9000000000002</v>
      </c>
      <c r="BR20">
        <v>0</v>
      </c>
      <c r="BS20">
        <v>0</v>
      </c>
      <c r="BT20">
        <v>10003.64833333333</v>
      </c>
      <c r="BU20">
        <v>0</v>
      </c>
      <c r="BV20">
        <v>0.00152894</v>
      </c>
      <c r="BW20">
        <v>-0.6665191000000001</v>
      </c>
      <c r="BX20">
        <v>404.7825</v>
      </c>
      <c r="BY20">
        <v>405.0835333333333</v>
      </c>
      <c r="BZ20">
        <v>0.9027736333333334</v>
      </c>
      <c r="CA20">
        <v>404.9494333333333</v>
      </c>
      <c r="CB20">
        <v>0.3312799</v>
      </c>
      <c r="CC20">
        <v>0.1250960666666667</v>
      </c>
      <c r="CD20">
        <v>0.03358186666666667</v>
      </c>
      <c r="CE20">
        <v>-20.07617666666666</v>
      </c>
      <c r="CF20">
        <v>-34.30727</v>
      </c>
      <c r="CG20">
        <v>999.9925666666663</v>
      </c>
      <c r="CH20">
        <v>0.9600053999999997</v>
      </c>
      <c r="CI20">
        <v>0.03999462666666667</v>
      </c>
      <c r="CJ20">
        <v>0</v>
      </c>
      <c r="CK20">
        <v>2.079833333333334</v>
      </c>
      <c r="CL20">
        <v>0</v>
      </c>
      <c r="CM20">
        <v>6566.062666666667</v>
      </c>
      <c r="CN20">
        <v>7946.876666666666</v>
      </c>
      <c r="CO20">
        <v>35.5</v>
      </c>
      <c r="CP20">
        <v>38.375</v>
      </c>
      <c r="CQ20">
        <v>36.68699999999999</v>
      </c>
      <c r="CR20">
        <v>37.7416</v>
      </c>
      <c r="CS20">
        <v>36.125</v>
      </c>
      <c r="CT20">
        <v>960.0000000000002</v>
      </c>
      <c r="CU20">
        <v>39.99266666666666</v>
      </c>
      <c r="CV20">
        <v>0</v>
      </c>
      <c r="CW20">
        <v>1751822721.3</v>
      </c>
      <c r="CX20">
        <v>0</v>
      </c>
      <c r="CY20">
        <v>1751822721.6</v>
      </c>
      <c r="CZ20" t="s">
        <v>368</v>
      </c>
      <c r="DA20">
        <v>1751822718.6</v>
      </c>
      <c r="DB20">
        <v>1751822721.6</v>
      </c>
      <c r="DC20">
        <v>4</v>
      </c>
      <c r="DD20">
        <v>-0.035</v>
      </c>
      <c r="DE20">
        <v>0.001</v>
      </c>
      <c r="DF20">
        <v>0.738</v>
      </c>
      <c r="DG20">
        <v>-0.186</v>
      </c>
      <c r="DH20">
        <v>405</v>
      </c>
      <c r="DI20">
        <v>0</v>
      </c>
      <c r="DJ20">
        <v>0.27</v>
      </c>
      <c r="DK20">
        <v>0.1</v>
      </c>
      <c r="DL20">
        <v>-0.6773223500000001</v>
      </c>
      <c r="DM20">
        <v>0.2303710919324585</v>
      </c>
      <c r="DN20">
        <v>0.0276745070665676</v>
      </c>
      <c r="DO20">
        <v>0</v>
      </c>
      <c r="DP20">
        <v>0.9408180500000001</v>
      </c>
      <c r="DQ20">
        <v>-0.6324044577861158</v>
      </c>
      <c r="DR20">
        <v>0.06200888300959389</v>
      </c>
      <c r="DS20">
        <v>0</v>
      </c>
      <c r="DT20">
        <v>0</v>
      </c>
      <c r="DU20">
        <v>2</v>
      </c>
      <c r="DV20" t="s">
        <v>365</v>
      </c>
      <c r="DW20">
        <v>3.44162</v>
      </c>
      <c r="DX20">
        <v>2.78069</v>
      </c>
      <c r="DY20">
        <v>0.0965043</v>
      </c>
      <c r="DZ20">
        <v>0.0967102</v>
      </c>
      <c r="EA20">
        <v>0.0112518</v>
      </c>
      <c r="EB20">
        <v>0.00291928</v>
      </c>
      <c r="EC20">
        <v>27054.6</v>
      </c>
      <c r="ED20">
        <v>30775</v>
      </c>
      <c r="EE20">
        <v>29098.1</v>
      </c>
      <c r="EF20">
        <v>34671.1</v>
      </c>
      <c r="EG20">
        <v>33296</v>
      </c>
      <c r="EH20">
        <v>42778.5</v>
      </c>
      <c r="EI20">
        <v>35818.2</v>
      </c>
      <c r="EJ20">
        <v>45728.7</v>
      </c>
      <c r="EK20">
        <v>2.44453</v>
      </c>
      <c r="EL20">
        <v>2.14008</v>
      </c>
      <c r="EM20">
        <v>0.0741705</v>
      </c>
      <c r="EN20">
        <v>0</v>
      </c>
      <c r="EO20">
        <v>27.9826</v>
      </c>
      <c r="EP20">
        <v>999.9</v>
      </c>
      <c r="EQ20">
        <v>58.1</v>
      </c>
      <c r="ER20">
        <v>26.4</v>
      </c>
      <c r="ES20">
        <v>19.8004</v>
      </c>
      <c r="ET20">
        <v>61.85</v>
      </c>
      <c r="EU20">
        <v>25.5449</v>
      </c>
      <c r="EV20">
        <v>2</v>
      </c>
      <c r="EW20">
        <v>0.0166514</v>
      </c>
      <c r="EX20">
        <v>0</v>
      </c>
      <c r="EY20">
        <v>20.292</v>
      </c>
      <c r="EZ20">
        <v>5.2107</v>
      </c>
      <c r="FA20">
        <v>11.9734</v>
      </c>
      <c r="FB20">
        <v>4.9899</v>
      </c>
      <c r="FC20">
        <v>3.272</v>
      </c>
      <c r="FD20">
        <v>3812.3</v>
      </c>
      <c r="FE20">
        <v>9999</v>
      </c>
      <c r="FF20">
        <v>9999</v>
      </c>
      <c r="FG20">
        <v>999.9</v>
      </c>
      <c r="FH20">
        <v>4.97261</v>
      </c>
      <c r="FI20">
        <v>1.86281</v>
      </c>
      <c r="FJ20">
        <v>1.86463</v>
      </c>
      <c r="FK20">
        <v>1.8631</v>
      </c>
      <c r="FL20">
        <v>1.8631</v>
      </c>
      <c r="FM20">
        <v>1.86364</v>
      </c>
      <c r="FN20">
        <v>1.86012</v>
      </c>
      <c r="FO20">
        <v>1.86295</v>
      </c>
      <c r="FP20">
        <v>0</v>
      </c>
      <c r="FQ20">
        <v>0</v>
      </c>
      <c r="FR20">
        <v>0</v>
      </c>
      <c r="FS20">
        <v>0</v>
      </c>
      <c r="FT20" t="s">
        <v>356</v>
      </c>
      <c r="FU20" t="s">
        <v>357</v>
      </c>
      <c r="FV20" t="s">
        <v>358</v>
      </c>
      <c r="FW20" t="s">
        <v>358</v>
      </c>
      <c r="FX20" t="s">
        <v>358</v>
      </c>
      <c r="FY20" t="s">
        <v>358</v>
      </c>
      <c r="FZ20">
        <v>0</v>
      </c>
      <c r="GA20">
        <v>100</v>
      </c>
      <c r="GB20">
        <v>100</v>
      </c>
      <c r="GC20">
        <v>0.738</v>
      </c>
      <c r="GD20">
        <v>-0.186</v>
      </c>
      <c r="GE20">
        <v>1.05695253519614</v>
      </c>
      <c r="GF20">
        <v>-0.001033730503750798</v>
      </c>
      <c r="GG20">
        <v>9.120241388950126E-07</v>
      </c>
      <c r="GH20">
        <v>-2.246115299815222E-10</v>
      </c>
      <c r="GI20">
        <v>-0.177866494642997</v>
      </c>
      <c r="GJ20">
        <v>-0.01814858093373864</v>
      </c>
      <c r="GK20">
        <v>0.002091959988359369</v>
      </c>
      <c r="GL20">
        <v>-1.90871700788604E-05</v>
      </c>
      <c r="GM20">
        <v>2</v>
      </c>
      <c r="GN20">
        <v>2210</v>
      </c>
      <c r="GO20">
        <v>1</v>
      </c>
      <c r="GP20">
        <v>26</v>
      </c>
      <c r="GQ20">
        <v>1.3</v>
      </c>
      <c r="GR20">
        <v>4.8</v>
      </c>
      <c r="GS20">
        <v>1.24878</v>
      </c>
      <c r="GT20">
        <v>2.38037</v>
      </c>
      <c r="GU20">
        <v>2.34741</v>
      </c>
      <c r="GV20">
        <v>2.68433</v>
      </c>
      <c r="GW20">
        <v>2.39868</v>
      </c>
      <c r="GX20">
        <v>2.23633</v>
      </c>
      <c r="GY20">
        <v>32.5318</v>
      </c>
      <c r="GZ20">
        <v>16.1196</v>
      </c>
      <c r="HA20">
        <v>18</v>
      </c>
      <c r="HB20">
        <v>802.193</v>
      </c>
      <c r="HC20">
        <v>612.516</v>
      </c>
      <c r="HD20">
        <v>28.149</v>
      </c>
      <c r="HE20">
        <v>27.7287</v>
      </c>
      <c r="HF20">
        <v>30.0009</v>
      </c>
      <c r="HG20">
        <v>27.4286</v>
      </c>
      <c r="HH20">
        <v>27.374</v>
      </c>
      <c r="HI20">
        <v>25.038</v>
      </c>
      <c r="HJ20">
        <v>100</v>
      </c>
      <c r="HK20">
        <v>0</v>
      </c>
      <c r="HL20">
        <v>-999.9</v>
      </c>
      <c r="HM20">
        <v>405</v>
      </c>
      <c r="HN20">
        <v>0</v>
      </c>
      <c r="HO20">
        <v>99.9041</v>
      </c>
      <c r="HP20">
        <v>100.005</v>
      </c>
    </row>
    <row r="21" spans="1:224">
      <c r="A21">
        <v>5</v>
      </c>
      <c r="B21">
        <v>1751822812.1</v>
      </c>
      <c r="C21">
        <v>425.5</v>
      </c>
      <c r="D21" t="s">
        <v>369</v>
      </c>
      <c r="E21" t="s">
        <v>370</v>
      </c>
      <c r="F21">
        <v>15</v>
      </c>
      <c r="G21">
        <v>1751822804.349999</v>
      </c>
      <c r="H21">
        <f>(I21)/1000</f>
        <v>0</v>
      </c>
      <c r="I21">
        <f>IF(BD21, AL21, AF21)</f>
        <v>0</v>
      </c>
      <c r="J21">
        <f>IF(BD21, AG21, AE21)</f>
        <v>0</v>
      </c>
      <c r="K21">
        <f>BF21 - IF(AS21&gt;1, J21*AZ21*100.0/(AU21), 0)</f>
        <v>0</v>
      </c>
      <c r="L21">
        <f>((R21-H21/2)*K21-J21)/(R21+H21/2)</f>
        <v>0</v>
      </c>
      <c r="M21">
        <f>L21*(BM21+BN21)/1000.0</f>
        <v>0</v>
      </c>
      <c r="N21">
        <f>(BF21 - IF(AS21&gt;1, J21*AZ21*100.0/(AU21), 0))*(BM21+BN21)/1000.0</f>
        <v>0</v>
      </c>
      <c r="O21">
        <f>2.0/((1/Q21-1/P21)+SIGN(Q21)*SQRT((1/Q21-1/P21)*(1/Q21-1/P21) + 4*BA21/((BA21+1)*(BA21+1))*(2*1/Q21*1/P21-1/P21*1/P21)))</f>
        <v>0</v>
      </c>
      <c r="P21">
        <f>IF(LEFT(BB21,1)&lt;&gt;"0",IF(LEFT(BB21,1)="1",3.0,BC21),$D$5+$E$5*(BT21*BM21/($K$5*1000))+$F$5*(BT21*BM21/($K$5*1000))*MAX(MIN(AZ21,$J$5),$I$5)*MAX(MIN(AZ21,$J$5),$I$5)+$G$5*MAX(MIN(AZ21,$J$5),$I$5)*(BT21*BM21/($K$5*1000))+$H$5*(BT21*BM21/($K$5*1000))*(BT21*BM21/($K$5*1000)))</f>
        <v>0</v>
      </c>
      <c r="Q21">
        <f>H21*(1000-(1000*0.61365*exp(17.502*U21/(240.97+U21))/(BM21+BN21)+BH21)/2)/(1000*0.61365*exp(17.502*U21/(240.97+U21))/(BM21+BN21)-BH21)</f>
        <v>0</v>
      </c>
      <c r="R21">
        <f>1/((BA21+1)/(O21/1.6)+1/(P21/1.37)) + BA21/((BA21+1)/(O21/1.6) + BA21/(P21/1.37))</f>
        <v>0</v>
      </c>
      <c r="S21">
        <f>(AV21*AY21)</f>
        <v>0</v>
      </c>
      <c r="T21">
        <f>(BO21+(S21+2*0.95*5.67E-8*(((BO21+$B$7)+273)^4-(BO21+273)^4)-44100*H21)/(1.84*29.3*P21+8*0.95*5.67E-8*(BO21+273)^3))</f>
        <v>0</v>
      </c>
      <c r="U21">
        <f>($C$7*BP21+$D$7*BQ21+$E$7*T21)</f>
        <v>0</v>
      </c>
      <c r="V21">
        <f>0.61365*exp(17.502*U21/(240.97+U21))</f>
        <v>0</v>
      </c>
      <c r="W21">
        <f>(X21/Y21*100)</f>
        <v>0</v>
      </c>
      <c r="X21">
        <f>BH21*(BM21+BN21)/1000</f>
        <v>0</v>
      </c>
      <c r="Y21">
        <f>0.61365*exp(17.502*BO21/(240.97+BO21))</f>
        <v>0</v>
      </c>
      <c r="Z21">
        <f>(V21-BH21*(BM21+BN21)/1000)</f>
        <v>0</v>
      </c>
      <c r="AA21">
        <f>(-H21*44100)</f>
        <v>0</v>
      </c>
      <c r="AB21">
        <f>2*29.3*P21*0.92*(BO21-U21)</f>
        <v>0</v>
      </c>
      <c r="AC21">
        <f>2*0.95*5.67E-8*(((BO21+$B$7)+273)^4-(U21+273)^4)</f>
        <v>0</v>
      </c>
      <c r="AD21">
        <f>S21+AC21+AA21+AB21</f>
        <v>0</v>
      </c>
      <c r="AE21">
        <f>BL21*AS21*(BG21-BF21*(1000-AS21*BI21)/(1000-AS21*BH21))/(100*AZ21)</f>
        <v>0</v>
      </c>
      <c r="AF21">
        <f>1000*BL21*AS21*(BH21-BI21)/(100*AZ21*(1000-AS21*BH21))</f>
        <v>0</v>
      </c>
      <c r="AG21">
        <f>(AH21 - AI21 - BM21*1E3/(8.314*(BO21+273.15)) * AK21/BL21 * AJ21) * BL21/(100*AZ21) * (1000 - BI21)/1000</f>
        <v>0</v>
      </c>
      <c r="AH21">
        <v>405.0798319146524</v>
      </c>
      <c r="AI21">
        <v>401.6891818181818</v>
      </c>
      <c r="AJ21">
        <v>0.02302940343480085</v>
      </c>
      <c r="AK21">
        <v>66.94015425551142</v>
      </c>
      <c r="AL21">
        <f>(AN21 - AM21 + BM21*1E3/(8.314*(BO21+273.15)) * AP21/BL21 * AO21) * BL21/(100*AZ21) * 1000/(1000 - AN21)</f>
        <v>0</v>
      </c>
      <c r="AM21">
        <v>0.3353323757143676</v>
      </c>
      <c r="AN21">
        <v>2.035230848484848</v>
      </c>
      <c r="AO21">
        <v>-0.005732712168355355</v>
      </c>
      <c r="AP21">
        <v>79.80809147965905</v>
      </c>
      <c r="AQ21">
        <v>87</v>
      </c>
      <c r="AR21">
        <v>11</v>
      </c>
      <c r="AS21">
        <f>IF(AQ21*$H$13&gt;=AU21,1.0,(AU21/(AU21-AQ21*$H$13)))</f>
        <v>0</v>
      </c>
      <c r="AT21">
        <f>(AS21-1)*100</f>
        <v>0</v>
      </c>
      <c r="AU21">
        <f>MAX(0,($B$13+$C$13*BT21)/(1+$D$13*BT21)*BM21/(BO21+273)*$E$13)</f>
        <v>0</v>
      </c>
      <c r="AV21">
        <f>$B$11*BU21+$C$11*BV21+$F$11*CG21*(1-CJ21)</f>
        <v>0</v>
      </c>
      <c r="AW21">
        <f>AV21*AX21</f>
        <v>0</v>
      </c>
      <c r="AX21">
        <f>($B$11*$D$9+$C$11*$D$9+$F$11*((CT21+CL21)/MAX(CT21+CL21+CU21, 0.1)*$I$9+CU21/MAX(CT21+CL21+CU21, 0.1)*$J$9))/($B$11+$C$11+$F$11)</f>
        <v>0</v>
      </c>
      <c r="AY21">
        <f>($B$11*$K$9+$C$11*$K$9+$F$11*((CT21+CL21)/MAX(CT21+CL21+CU21, 0.1)*$P$9+CU21/MAX(CT21+CL21+CU21, 0.1)*$Q$9))/($B$11+$C$11+$F$11)</f>
        <v>0</v>
      </c>
      <c r="AZ21">
        <v>6</v>
      </c>
      <c r="BA21">
        <v>0.5</v>
      </c>
      <c r="BB21" t="s">
        <v>353</v>
      </c>
      <c r="BC21">
        <v>2</v>
      </c>
      <c r="BD21" t="b">
        <v>0</v>
      </c>
      <c r="BE21">
        <v>1751822804.349999</v>
      </c>
      <c r="BF21">
        <v>400.8141</v>
      </c>
      <c r="BG21">
        <v>404.9672333333334</v>
      </c>
      <c r="BH21">
        <v>2.084985666666667</v>
      </c>
      <c r="BI21">
        <v>0.3351461999999999</v>
      </c>
      <c r="BJ21">
        <v>400.0781</v>
      </c>
      <c r="BK21">
        <v>2.293141666666667</v>
      </c>
      <c r="BL21">
        <v>800.0038333333334</v>
      </c>
      <c r="BM21">
        <v>101.3773</v>
      </c>
      <c r="BN21">
        <v>0.1002754866666667</v>
      </c>
      <c r="BO21">
        <v>29.1425</v>
      </c>
      <c r="BP21">
        <v>29.08756666666667</v>
      </c>
      <c r="BQ21">
        <v>999.9000000000002</v>
      </c>
      <c r="BR21">
        <v>0</v>
      </c>
      <c r="BS21">
        <v>0</v>
      </c>
      <c r="BT21">
        <v>10003.125</v>
      </c>
      <c r="BU21">
        <v>0</v>
      </c>
      <c r="BV21">
        <v>0.001554422</v>
      </c>
      <c r="BW21">
        <v>-4.149579666666667</v>
      </c>
      <c r="BX21">
        <v>401.6549333333334</v>
      </c>
      <c r="BY21">
        <v>405.1029</v>
      </c>
      <c r="BZ21">
        <v>1.749839</v>
      </c>
      <c r="CA21">
        <v>404.9672333333334</v>
      </c>
      <c r="CB21">
        <v>0.3351461999999999</v>
      </c>
      <c r="CC21">
        <v>0.2113701</v>
      </c>
      <c r="CD21">
        <v>0.03397621333333334</v>
      </c>
      <c r="CE21">
        <v>-13.83347666666666</v>
      </c>
      <c r="CF21">
        <v>-34.18898</v>
      </c>
      <c r="CG21">
        <v>1000.004566666667</v>
      </c>
      <c r="CH21">
        <v>0.9600005666666669</v>
      </c>
      <c r="CI21">
        <v>0.03999926666666666</v>
      </c>
      <c r="CJ21">
        <v>0</v>
      </c>
      <c r="CK21">
        <v>1.594333333333334</v>
      </c>
      <c r="CL21">
        <v>0</v>
      </c>
      <c r="CM21">
        <v>7953.838</v>
      </c>
      <c r="CN21">
        <v>7946.954999999999</v>
      </c>
      <c r="CO21">
        <v>35.39773333333333</v>
      </c>
      <c r="CP21">
        <v>38.27273333333333</v>
      </c>
      <c r="CQ21">
        <v>36.61239999999999</v>
      </c>
      <c r="CR21">
        <v>37.63533333333333</v>
      </c>
      <c r="CS21">
        <v>36.062</v>
      </c>
      <c r="CT21">
        <v>960.0046666666668</v>
      </c>
      <c r="CU21">
        <v>40</v>
      </c>
      <c r="CV21">
        <v>0</v>
      </c>
      <c r="CW21">
        <v>1751822830.5</v>
      </c>
      <c r="CX21">
        <v>0</v>
      </c>
      <c r="CY21">
        <v>1751822829.6</v>
      </c>
      <c r="CZ21" t="s">
        <v>371</v>
      </c>
      <c r="DA21">
        <v>1751822829.6</v>
      </c>
      <c r="DB21">
        <v>1751822721.6</v>
      </c>
      <c r="DC21">
        <v>5</v>
      </c>
      <c r="DD21">
        <v>-0.002</v>
      </c>
      <c r="DE21">
        <v>0.001</v>
      </c>
      <c r="DF21">
        <v>0.736</v>
      </c>
      <c r="DG21">
        <v>-0.186</v>
      </c>
      <c r="DH21">
        <v>405</v>
      </c>
      <c r="DI21">
        <v>0</v>
      </c>
      <c r="DJ21">
        <v>0.38</v>
      </c>
      <c r="DK21">
        <v>0.1</v>
      </c>
      <c r="DL21">
        <v>-4.159709024390245</v>
      </c>
      <c r="DM21">
        <v>0.09506634146342195</v>
      </c>
      <c r="DN21">
        <v>0.02003977931878858</v>
      </c>
      <c r="DO21">
        <v>1</v>
      </c>
      <c r="DP21">
        <v>1.792704634146342</v>
      </c>
      <c r="DQ21">
        <v>-0.6665032055749163</v>
      </c>
      <c r="DR21">
        <v>0.06727810244625358</v>
      </c>
      <c r="DS21">
        <v>0</v>
      </c>
      <c r="DT21">
        <v>1</v>
      </c>
      <c r="DU21">
        <v>2</v>
      </c>
      <c r="DV21" t="s">
        <v>355</v>
      </c>
      <c r="DW21">
        <v>3.44147</v>
      </c>
      <c r="DX21">
        <v>2.78088</v>
      </c>
      <c r="DY21">
        <v>0.0958369</v>
      </c>
      <c r="DZ21">
        <v>0.09664349999999999</v>
      </c>
      <c r="EA21">
        <v>0.0175661</v>
      </c>
      <c r="EB21">
        <v>0.0029549</v>
      </c>
      <c r="EC21">
        <v>27066.4</v>
      </c>
      <c r="ED21">
        <v>30769.1</v>
      </c>
      <c r="EE21">
        <v>29090.1</v>
      </c>
      <c r="EF21">
        <v>34663</v>
      </c>
      <c r="EG21">
        <v>33073.5</v>
      </c>
      <c r="EH21">
        <v>42766.9</v>
      </c>
      <c r="EI21">
        <v>35808.1</v>
      </c>
      <c r="EJ21">
        <v>45718</v>
      </c>
      <c r="EK21">
        <v>2.35012</v>
      </c>
      <c r="EL21">
        <v>2.13482</v>
      </c>
      <c r="EM21">
        <v>0.0558421</v>
      </c>
      <c r="EN21">
        <v>0</v>
      </c>
      <c r="EO21">
        <v>28.1939</v>
      </c>
      <c r="EP21">
        <v>999.9</v>
      </c>
      <c r="EQ21">
        <v>57</v>
      </c>
      <c r="ER21">
        <v>26.7</v>
      </c>
      <c r="ES21">
        <v>19.7713</v>
      </c>
      <c r="ET21">
        <v>62.22</v>
      </c>
      <c r="EU21">
        <v>25.597</v>
      </c>
      <c r="EV21">
        <v>2</v>
      </c>
      <c r="EW21">
        <v>0.0319029</v>
      </c>
      <c r="EX21">
        <v>0</v>
      </c>
      <c r="EY21">
        <v>20.2919</v>
      </c>
      <c r="EZ21">
        <v>5.21085</v>
      </c>
      <c r="FA21">
        <v>11.973</v>
      </c>
      <c r="FB21">
        <v>4.9904</v>
      </c>
      <c r="FC21">
        <v>3.272</v>
      </c>
      <c r="FD21">
        <v>3815.4</v>
      </c>
      <c r="FE21">
        <v>9999</v>
      </c>
      <c r="FF21">
        <v>9999</v>
      </c>
      <c r="FG21">
        <v>999.9</v>
      </c>
      <c r="FH21">
        <v>4.97261</v>
      </c>
      <c r="FI21">
        <v>1.86287</v>
      </c>
      <c r="FJ21">
        <v>1.86465</v>
      </c>
      <c r="FK21">
        <v>1.8631</v>
      </c>
      <c r="FL21">
        <v>1.8631</v>
      </c>
      <c r="FM21">
        <v>1.8637</v>
      </c>
      <c r="FN21">
        <v>1.86017</v>
      </c>
      <c r="FO21">
        <v>1.86295</v>
      </c>
      <c r="FP21">
        <v>0</v>
      </c>
      <c r="FQ21">
        <v>0</v>
      </c>
      <c r="FR21">
        <v>0</v>
      </c>
      <c r="FS21">
        <v>0</v>
      </c>
      <c r="FT21" t="s">
        <v>356</v>
      </c>
      <c r="FU21" t="s">
        <v>357</v>
      </c>
      <c r="FV21" t="s">
        <v>358</v>
      </c>
      <c r="FW21" t="s">
        <v>358</v>
      </c>
      <c r="FX21" t="s">
        <v>358</v>
      </c>
      <c r="FY21" t="s">
        <v>358</v>
      </c>
      <c r="FZ21">
        <v>0</v>
      </c>
      <c r="GA21">
        <v>100</v>
      </c>
      <c r="GB21">
        <v>100</v>
      </c>
      <c r="GC21">
        <v>0.736</v>
      </c>
      <c r="GD21">
        <v>-0.2077</v>
      </c>
      <c r="GE21">
        <v>1.021474622702134</v>
      </c>
      <c r="GF21">
        <v>-0.001033730503750798</v>
      </c>
      <c r="GG21">
        <v>9.120241388950126E-07</v>
      </c>
      <c r="GH21">
        <v>-2.246115299815222E-10</v>
      </c>
      <c r="GI21">
        <v>-0.1773115937756053</v>
      </c>
      <c r="GJ21">
        <v>-0.01814858093373864</v>
      </c>
      <c r="GK21">
        <v>0.002091959988359369</v>
      </c>
      <c r="GL21">
        <v>-1.90871700788604E-05</v>
      </c>
      <c r="GM21">
        <v>2</v>
      </c>
      <c r="GN21">
        <v>2210</v>
      </c>
      <c r="GO21">
        <v>1</v>
      </c>
      <c r="GP21">
        <v>26</v>
      </c>
      <c r="GQ21">
        <v>1.6</v>
      </c>
      <c r="GR21">
        <v>1.5</v>
      </c>
      <c r="GS21">
        <v>1.25</v>
      </c>
      <c r="GT21">
        <v>2.37549</v>
      </c>
      <c r="GU21">
        <v>2.34863</v>
      </c>
      <c r="GV21">
        <v>2.68433</v>
      </c>
      <c r="GW21">
        <v>2.39868</v>
      </c>
      <c r="GX21">
        <v>2.24487</v>
      </c>
      <c r="GY21">
        <v>32.8202</v>
      </c>
      <c r="GZ21">
        <v>16.1196</v>
      </c>
      <c r="HA21">
        <v>18</v>
      </c>
      <c r="HB21">
        <v>726.671</v>
      </c>
      <c r="HC21">
        <v>611.205</v>
      </c>
      <c r="HD21">
        <v>28.4909</v>
      </c>
      <c r="HE21">
        <v>27.9768</v>
      </c>
      <c r="HF21">
        <v>30.0005</v>
      </c>
      <c r="HG21">
        <v>27.6915</v>
      </c>
      <c r="HH21">
        <v>27.6311</v>
      </c>
      <c r="HI21">
        <v>25.0724</v>
      </c>
      <c r="HJ21">
        <v>100</v>
      </c>
      <c r="HK21">
        <v>0</v>
      </c>
      <c r="HL21">
        <v>-999.9</v>
      </c>
      <c r="HM21">
        <v>405</v>
      </c>
      <c r="HN21">
        <v>0</v>
      </c>
      <c r="HO21">
        <v>99.8763</v>
      </c>
      <c r="HP21">
        <v>99.9811</v>
      </c>
    </row>
    <row r="22" spans="1:224">
      <c r="A22">
        <v>6</v>
      </c>
      <c r="B22">
        <v>1751822916.6</v>
      </c>
      <c r="C22">
        <v>530</v>
      </c>
      <c r="D22" t="s">
        <v>372</v>
      </c>
      <c r="E22" t="s">
        <v>373</v>
      </c>
      <c r="F22">
        <v>15</v>
      </c>
      <c r="G22">
        <v>1751822908.599999</v>
      </c>
      <c r="H22">
        <f>(I22)/1000</f>
        <v>0</v>
      </c>
      <c r="I22">
        <f>IF(BD22, AL22, AF22)</f>
        <v>0</v>
      </c>
      <c r="J22">
        <f>IF(BD22, AG22, AE22)</f>
        <v>0</v>
      </c>
      <c r="K22">
        <f>BF22 - IF(AS22&gt;1, J22*AZ22*100.0/(AU22), 0)</f>
        <v>0</v>
      </c>
      <c r="L22">
        <f>((R22-H22/2)*K22-J22)/(R22+H22/2)</f>
        <v>0</v>
      </c>
      <c r="M22">
        <f>L22*(BM22+BN22)/1000.0</f>
        <v>0</v>
      </c>
      <c r="N22">
        <f>(BF22 - IF(AS22&gt;1, J22*AZ22*100.0/(AU22), 0))*(BM22+BN22)/1000.0</f>
        <v>0</v>
      </c>
      <c r="O22">
        <f>2.0/((1/Q22-1/P22)+SIGN(Q22)*SQRT((1/Q22-1/P22)*(1/Q22-1/P22) + 4*BA22/((BA22+1)*(BA22+1))*(2*1/Q22*1/P22-1/P22*1/P22)))</f>
        <v>0</v>
      </c>
      <c r="P22">
        <f>IF(LEFT(BB22,1)&lt;&gt;"0",IF(LEFT(BB22,1)="1",3.0,BC22),$D$5+$E$5*(BT22*BM22/($K$5*1000))+$F$5*(BT22*BM22/($K$5*1000))*MAX(MIN(AZ22,$J$5),$I$5)*MAX(MIN(AZ22,$J$5),$I$5)+$G$5*MAX(MIN(AZ22,$J$5),$I$5)*(BT22*BM22/($K$5*1000))+$H$5*(BT22*BM22/($K$5*1000))*(BT22*BM22/($K$5*1000)))</f>
        <v>0</v>
      </c>
      <c r="Q22">
        <f>H22*(1000-(1000*0.61365*exp(17.502*U22/(240.97+U22))/(BM22+BN22)+BH22)/2)/(1000*0.61365*exp(17.502*U22/(240.97+U22))/(BM22+BN22)-BH22)</f>
        <v>0</v>
      </c>
      <c r="R22">
        <f>1/((BA22+1)/(O22/1.6)+1/(P22/1.37)) + BA22/((BA22+1)/(O22/1.6) + BA22/(P22/1.37))</f>
        <v>0</v>
      </c>
      <c r="S22">
        <f>(AV22*AY22)</f>
        <v>0</v>
      </c>
      <c r="T22">
        <f>(BO22+(S22+2*0.95*5.67E-8*(((BO22+$B$7)+273)^4-(BO22+273)^4)-44100*H22)/(1.84*29.3*P22+8*0.95*5.67E-8*(BO22+273)^3))</f>
        <v>0</v>
      </c>
      <c r="U22">
        <f>($C$7*BP22+$D$7*BQ22+$E$7*T22)</f>
        <v>0</v>
      </c>
      <c r="V22">
        <f>0.61365*exp(17.502*U22/(240.97+U22))</f>
        <v>0</v>
      </c>
      <c r="W22">
        <f>(X22/Y22*100)</f>
        <v>0</v>
      </c>
      <c r="X22">
        <f>BH22*(BM22+BN22)/1000</f>
        <v>0</v>
      </c>
      <c r="Y22">
        <f>0.61365*exp(17.502*BO22/(240.97+BO22))</f>
        <v>0</v>
      </c>
      <c r="Z22">
        <f>(V22-BH22*(BM22+BN22)/1000)</f>
        <v>0</v>
      </c>
      <c r="AA22">
        <f>(-H22*44100)</f>
        <v>0</v>
      </c>
      <c r="AB22">
        <f>2*29.3*P22*0.92*(BO22-U22)</f>
        <v>0</v>
      </c>
      <c r="AC22">
        <f>2*0.95*5.67E-8*(((BO22+$B$7)+273)^4-(U22+273)^4)</f>
        <v>0</v>
      </c>
      <c r="AD22">
        <f>S22+AC22+AA22+AB22</f>
        <v>0</v>
      </c>
      <c r="AE22">
        <f>BL22*AS22*(BG22-BF22*(1000-AS22*BI22)/(1000-AS22*BH22))/(100*AZ22)</f>
        <v>0</v>
      </c>
      <c r="AF22">
        <f>1000*BL22*AS22*(BH22-BI22)/(100*AZ22*(1000-AS22*BH22))</f>
        <v>0</v>
      </c>
      <c r="AG22">
        <f>(AH22 - AI22 - BM22*1E3/(8.314*(BO22+273.15)) * AK22/BL22 * AJ22) * BL22/(100*AZ22) * (1000 - BI22)/1000</f>
        <v>0</v>
      </c>
      <c r="AH22">
        <v>405.0914588270056</v>
      </c>
      <c r="AI22">
        <v>401.4509272727273</v>
      </c>
      <c r="AJ22">
        <v>0.001386307882187763</v>
      </c>
      <c r="AK22">
        <v>66.94027458650011</v>
      </c>
      <c r="AL22">
        <f>(AN22 - AM22 + BM22*1E3/(8.314*(BO22+273.15)) * AP22/BL22 * AO22) * BL22/(100*AZ22) * 1000/(1000 - AN22)</f>
        <v>0</v>
      </c>
      <c r="AM22">
        <v>0.338312791332573</v>
      </c>
      <c r="AN22">
        <v>2.323143636363636</v>
      </c>
      <c r="AO22">
        <v>-0.006531852026593054</v>
      </c>
      <c r="AP22">
        <v>79.75500869504154</v>
      </c>
      <c r="AQ22">
        <v>1</v>
      </c>
      <c r="AR22">
        <v>0</v>
      </c>
      <c r="AS22">
        <f>IF(AQ22*$H$13&gt;=AU22,1.0,(AU22/(AU22-AQ22*$H$13)))</f>
        <v>0</v>
      </c>
      <c r="AT22">
        <f>(AS22-1)*100</f>
        <v>0</v>
      </c>
      <c r="AU22">
        <f>MAX(0,($B$13+$C$13*BT22)/(1+$D$13*BT22)*BM22/(BO22+273)*$E$13)</f>
        <v>0</v>
      </c>
      <c r="AV22">
        <f>$B$11*BU22+$C$11*BV22+$F$11*CG22*(1-CJ22)</f>
        <v>0</v>
      </c>
      <c r="AW22">
        <f>AV22*AX22</f>
        <v>0</v>
      </c>
      <c r="AX22">
        <f>($B$11*$D$9+$C$11*$D$9+$F$11*((CT22+CL22)/MAX(CT22+CL22+CU22, 0.1)*$I$9+CU22/MAX(CT22+CL22+CU22, 0.1)*$J$9))/($B$11+$C$11+$F$11)</f>
        <v>0</v>
      </c>
      <c r="AY22">
        <f>($B$11*$K$9+$C$11*$K$9+$F$11*((CT22+CL22)/MAX(CT22+CL22+CU22, 0.1)*$P$9+CU22/MAX(CT22+CL22+CU22, 0.1)*$Q$9))/($B$11+$C$11+$F$11)</f>
        <v>0</v>
      </c>
      <c r="AZ22">
        <v>6</v>
      </c>
      <c r="BA22">
        <v>0.5</v>
      </c>
      <c r="BB22" t="s">
        <v>353</v>
      </c>
      <c r="BC22">
        <v>2</v>
      </c>
      <c r="BD22" t="b">
        <v>0</v>
      </c>
      <c r="BE22">
        <v>1751822908.599999</v>
      </c>
      <c r="BF22">
        <v>400.4730645161291</v>
      </c>
      <c r="BG22">
        <v>404.9737741935484</v>
      </c>
      <c r="BH22">
        <v>2.383077741935484</v>
      </c>
      <c r="BI22">
        <v>0.338120935483871</v>
      </c>
      <c r="BJ22">
        <v>399.7600645161291</v>
      </c>
      <c r="BK22">
        <v>2.59371741935484</v>
      </c>
      <c r="BL22">
        <v>800.0119032258065</v>
      </c>
      <c r="BM22">
        <v>101.3789677419355</v>
      </c>
      <c r="BN22">
        <v>0.1002325774193548</v>
      </c>
      <c r="BO22">
        <v>29.21422903225806</v>
      </c>
      <c r="BP22">
        <v>29.47145161290323</v>
      </c>
      <c r="BQ22">
        <v>999.9000000000003</v>
      </c>
      <c r="BR22">
        <v>0</v>
      </c>
      <c r="BS22">
        <v>0</v>
      </c>
      <c r="BT22">
        <v>9997.394838709677</v>
      </c>
      <c r="BU22">
        <v>0</v>
      </c>
      <c r="BV22">
        <v>0.00152894</v>
      </c>
      <c r="BW22">
        <v>-4.476315161290322</v>
      </c>
      <c r="BX22">
        <v>401.4542258064516</v>
      </c>
      <c r="BY22">
        <v>405.1108387096775</v>
      </c>
      <c r="BZ22">
        <v>2.044957096774194</v>
      </c>
      <c r="CA22">
        <v>404.9737741935484</v>
      </c>
      <c r="CB22">
        <v>0.338120935483871</v>
      </c>
      <c r="CC22">
        <v>0.2415938387096774</v>
      </c>
      <c r="CD22">
        <v>0.03427832903225806</v>
      </c>
      <c r="CE22">
        <v>-12.18704193548387</v>
      </c>
      <c r="CF22">
        <v>-34.0992</v>
      </c>
      <c r="CG22">
        <v>999.9782258064516</v>
      </c>
      <c r="CH22">
        <v>0.9600092258064516</v>
      </c>
      <c r="CI22">
        <v>0.03999060645161292</v>
      </c>
      <c r="CJ22">
        <v>0</v>
      </c>
      <c r="CK22">
        <v>3.528387096774193</v>
      </c>
      <c r="CL22">
        <v>0</v>
      </c>
      <c r="CM22">
        <v>6440.533225806452</v>
      </c>
      <c r="CN22">
        <v>7946.770967741936</v>
      </c>
      <c r="CO22">
        <v>35.26</v>
      </c>
      <c r="CP22">
        <v>38.125</v>
      </c>
      <c r="CQ22">
        <v>36.47967741935484</v>
      </c>
      <c r="CR22">
        <v>37.46341935483869</v>
      </c>
      <c r="CS22">
        <v>35.97967741935484</v>
      </c>
      <c r="CT22">
        <v>959.9877419354839</v>
      </c>
      <c r="CU22">
        <v>39.99</v>
      </c>
      <c r="CV22">
        <v>0</v>
      </c>
      <c r="CW22">
        <v>1751822934.9</v>
      </c>
      <c r="CX22">
        <v>0</v>
      </c>
      <c r="CY22">
        <v>1751822937.6</v>
      </c>
      <c r="CZ22" t="s">
        <v>374</v>
      </c>
      <c r="DA22">
        <v>1751822937.6</v>
      </c>
      <c r="DB22">
        <v>1751822721.6</v>
      </c>
      <c r="DC22">
        <v>6</v>
      </c>
      <c r="DD22">
        <v>-0.022</v>
      </c>
      <c r="DE22">
        <v>0.001</v>
      </c>
      <c r="DF22">
        <v>0.713</v>
      </c>
      <c r="DG22">
        <v>-0.186</v>
      </c>
      <c r="DH22">
        <v>405</v>
      </c>
      <c r="DI22">
        <v>0</v>
      </c>
      <c r="DJ22">
        <v>0.26</v>
      </c>
      <c r="DK22">
        <v>0.1</v>
      </c>
      <c r="DL22">
        <v>-4.47742487804878</v>
      </c>
      <c r="DM22">
        <v>-0.03664912891986087</v>
      </c>
      <c r="DN22">
        <v>0.02946118969349096</v>
      </c>
      <c r="DO22">
        <v>1</v>
      </c>
      <c r="DP22">
        <v>2.088486097560976</v>
      </c>
      <c r="DQ22">
        <v>-0.793475958188147</v>
      </c>
      <c r="DR22">
        <v>0.08065164927707572</v>
      </c>
      <c r="DS22">
        <v>0</v>
      </c>
      <c r="DT22">
        <v>1</v>
      </c>
      <c r="DU22">
        <v>2</v>
      </c>
      <c r="DV22" t="s">
        <v>355</v>
      </c>
      <c r="DW22">
        <v>3.44147</v>
      </c>
      <c r="DX22">
        <v>2.78089</v>
      </c>
      <c r="DY22">
        <v>0.0957331</v>
      </c>
      <c r="DZ22">
        <v>0.0966042</v>
      </c>
      <c r="EA22">
        <v>0.0196006</v>
      </c>
      <c r="EB22">
        <v>0.00297439</v>
      </c>
      <c r="EC22">
        <v>27066.1</v>
      </c>
      <c r="ED22">
        <v>30767</v>
      </c>
      <c r="EE22">
        <v>29086.8</v>
      </c>
      <c r="EF22">
        <v>34659.8</v>
      </c>
      <c r="EG22">
        <v>33001.5</v>
      </c>
      <c r="EH22">
        <v>42762.6</v>
      </c>
      <c r="EI22">
        <v>35804.5</v>
      </c>
      <c r="EJ22">
        <v>45714.4</v>
      </c>
      <c r="EK22">
        <v>2.47045</v>
      </c>
      <c r="EL22">
        <v>2.13105</v>
      </c>
      <c r="EM22">
        <v>0.0780821</v>
      </c>
      <c r="EN22">
        <v>0</v>
      </c>
      <c r="EO22">
        <v>28.2274</v>
      </c>
      <c r="EP22">
        <v>999.9</v>
      </c>
      <c r="EQ22">
        <v>55.9</v>
      </c>
      <c r="ER22">
        <v>27</v>
      </c>
      <c r="ES22">
        <v>19.7361</v>
      </c>
      <c r="ET22">
        <v>62.35</v>
      </c>
      <c r="EU22">
        <v>25.5529</v>
      </c>
      <c r="EV22">
        <v>2</v>
      </c>
      <c r="EW22">
        <v>0.0407546</v>
      </c>
      <c r="EX22">
        <v>0</v>
      </c>
      <c r="EY22">
        <v>20.2918</v>
      </c>
      <c r="EZ22">
        <v>5.21055</v>
      </c>
      <c r="FA22">
        <v>11.9737</v>
      </c>
      <c r="FB22">
        <v>4.98975</v>
      </c>
      <c r="FC22">
        <v>3.272</v>
      </c>
      <c r="FD22">
        <v>3818.5</v>
      </c>
      <c r="FE22">
        <v>9999</v>
      </c>
      <c r="FF22">
        <v>9999</v>
      </c>
      <c r="FG22">
        <v>999.9</v>
      </c>
      <c r="FH22">
        <v>4.97263</v>
      </c>
      <c r="FI22">
        <v>1.86293</v>
      </c>
      <c r="FJ22">
        <v>1.86468</v>
      </c>
      <c r="FK22">
        <v>1.86312</v>
      </c>
      <c r="FL22">
        <v>1.86311</v>
      </c>
      <c r="FM22">
        <v>1.86371</v>
      </c>
      <c r="FN22">
        <v>1.8602</v>
      </c>
      <c r="FO22">
        <v>1.86295</v>
      </c>
      <c r="FP22">
        <v>0</v>
      </c>
      <c r="FQ22">
        <v>0</v>
      </c>
      <c r="FR22">
        <v>0</v>
      </c>
      <c r="FS22">
        <v>0</v>
      </c>
      <c r="FT22" t="s">
        <v>356</v>
      </c>
      <c r="FU22" t="s">
        <v>357</v>
      </c>
      <c r="FV22" t="s">
        <v>358</v>
      </c>
      <c r="FW22" t="s">
        <v>358</v>
      </c>
      <c r="FX22" t="s">
        <v>358</v>
      </c>
      <c r="FY22" t="s">
        <v>358</v>
      </c>
      <c r="FZ22">
        <v>0</v>
      </c>
      <c r="GA22">
        <v>100</v>
      </c>
      <c r="GB22">
        <v>100</v>
      </c>
      <c r="GC22">
        <v>0.713</v>
      </c>
      <c r="GD22">
        <v>-0.2102</v>
      </c>
      <c r="GE22">
        <v>1.019255740145644</v>
      </c>
      <c r="GF22">
        <v>-0.001033730503750798</v>
      </c>
      <c r="GG22">
        <v>9.120241388950126E-07</v>
      </c>
      <c r="GH22">
        <v>-2.246115299815222E-10</v>
      </c>
      <c r="GI22">
        <v>-0.1773115937756053</v>
      </c>
      <c r="GJ22">
        <v>-0.01814858093373864</v>
      </c>
      <c r="GK22">
        <v>0.002091959988359369</v>
      </c>
      <c r="GL22">
        <v>-1.90871700788604E-05</v>
      </c>
      <c r="GM22">
        <v>2</v>
      </c>
      <c r="GN22">
        <v>2210</v>
      </c>
      <c r="GO22">
        <v>1</v>
      </c>
      <c r="GP22">
        <v>26</v>
      </c>
      <c r="GQ22">
        <v>1.4</v>
      </c>
      <c r="GR22">
        <v>3.2</v>
      </c>
      <c r="GS22">
        <v>1.25122</v>
      </c>
      <c r="GT22">
        <v>2.38403</v>
      </c>
      <c r="GU22">
        <v>2.34741</v>
      </c>
      <c r="GV22">
        <v>2.68311</v>
      </c>
      <c r="GW22">
        <v>2.39868</v>
      </c>
      <c r="GX22">
        <v>2.26929</v>
      </c>
      <c r="GY22">
        <v>33.0652</v>
      </c>
      <c r="GZ22">
        <v>16.1109</v>
      </c>
      <c r="HA22">
        <v>18</v>
      </c>
      <c r="HB22">
        <v>831.058</v>
      </c>
      <c r="HC22">
        <v>610.131</v>
      </c>
      <c r="HD22">
        <v>28.7318</v>
      </c>
      <c r="HE22">
        <v>28.132</v>
      </c>
      <c r="HF22">
        <v>30.0003</v>
      </c>
      <c r="HG22">
        <v>27.8584</v>
      </c>
      <c r="HH22">
        <v>27.8048</v>
      </c>
      <c r="HI22">
        <v>25.1037</v>
      </c>
      <c r="HJ22">
        <v>100</v>
      </c>
      <c r="HK22">
        <v>0</v>
      </c>
      <c r="HL22">
        <v>-999.9</v>
      </c>
      <c r="HM22">
        <v>405</v>
      </c>
      <c r="HN22">
        <v>0</v>
      </c>
      <c r="HO22">
        <v>99.8657</v>
      </c>
      <c r="HP22">
        <v>99.9727</v>
      </c>
    </row>
    <row r="23" spans="1:224">
      <c r="A23">
        <v>7</v>
      </c>
      <c r="B23">
        <v>1751823039.6</v>
      </c>
      <c r="C23">
        <v>653</v>
      </c>
      <c r="D23" t="s">
        <v>375</v>
      </c>
      <c r="E23" t="s">
        <v>376</v>
      </c>
      <c r="F23">
        <v>15</v>
      </c>
      <c r="G23">
        <v>1751823031.599999</v>
      </c>
      <c r="H23">
        <f>(I23)/1000</f>
        <v>0</v>
      </c>
      <c r="I23">
        <f>IF(BD23, AL23, AF23)</f>
        <v>0</v>
      </c>
      <c r="J23">
        <f>IF(BD23, AG23, AE23)</f>
        <v>0</v>
      </c>
      <c r="K23">
        <f>BF23 - IF(AS23&gt;1, J23*AZ23*100.0/(AU23), 0)</f>
        <v>0</v>
      </c>
      <c r="L23">
        <f>((R23-H23/2)*K23-J23)/(R23+H23/2)</f>
        <v>0</v>
      </c>
      <c r="M23">
        <f>L23*(BM23+BN23)/1000.0</f>
        <v>0</v>
      </c>
      <c r="N23">
        <f>(BF23 - IF(AS23&gt;1, J23*AZ23*100.0/(AU23), 0))*(BM23+BN23)/1000.0</f>
        <v>0</v>
      </c>
      <c r="O23">
        <f>2.0/((1/Q23-1/P23)+SIGN(Q23)*SQRT((1/Q23-1/P23)*(1/Q23-1/P23) + 4*BA23/((BA23+1)*(BA23+1))*(2*1/Q23*1/P23-1/P23*1/P23)))</f>
        <v>0</v>
      </c>
      <c r="P23">
        <f>IF(LEFT(BB23,1)&lt;&gt;"0",IF(LEFT(BB23,1)="1",3.0,BC23),$D$5+$E$5*(BT23*BM23/($K$5*1000))+$F$5*(BT23*BM23/($K$5*1000))*MAX(MIN(AZ23,$J$5),$I$5)*MAX(MIN(AZ23,$J$5),$I$5)+$G$5*MAX(MIN(AZ23,$J$5),$I$5)*(BT23*BM23/($K$5*1000))+$H$5*(BT23*BM23/($K$5*1000))*(BT23*BM23/($K$5*1000)))</f>
        <v>0</v>
      </c>
      <c r="Q23">
        <f>H23*(1000-(1000*0.61365*exp(17.502*U23/(240.97+U23))/(BM23+BN23)+BH23)/2)/(1000*0.61365*exp(17.502*U23/(240.97+U23))/(BM23+BN23)-BH23)</f>
        <v>0</v>
      </c>
      <c r="R23">
        <f>1/((BA23+1)/(O23/1.6)+1/(P23/1.37)) + BA23/((BA23+1)/(O23/1.6) + BA23/(P23/1.37))</f>
        <v>0</v>
      </c>
      <c r="S23">
        <f>(AV23*AY23)</f>
        <v>0</v>
      </c>
      <c r="T23">
        <f>(BO23+(S23+2*0.95*5.67E-8*(((BO23+$B$7)+273)^4-(BO23+273)^4)-44100*H23)/(1.84*29.3*P23+8*0.95*5.67E-8*(BO23+273)^3))</f>
        <v>0</v>
      </c>
      <c r="U23">
        <f>($C$7*BP23+$D$7*BQ23+$E$7*T23)</f>
        <v>0</v>
      </c>
      <c r="V23">
        <f>0.61365*exp(17.502*U23/(240.97+U23))</f>
        <v>0</v>
      </c>
      <c r="W23">
        <f>(X23/Y23*100)</f>
        <v>0</v>
      </c>
      <c r="X23">
        <f>BH23*(BM23+BN23)/1000</f>
        <v>0</v>
      </c>
      <c r="Y23">
        <f>0.61365*exp(17.502*BO23/(240.97+BO23))</f>
        <v>0</v>
      </c>
      <c r="Z23">
        <f>(V23-BH23*(BM23+BN23)/1000)</f>
        <v>0</v>
      </c>
      <c r="AA23">
        <f>(-H23*44100)</f>
        <v>0</v>
      </c>
      <c r="AB23">
        <f>2*29.3*P23*0.92*(BO23-U23)</f>
        <v>0</v>
      </c>
      <c r="AC23">
        <f>2*0.95*5.67E-8*(((BO23+$B$7)+273)^4-(U23+273)^4)</f>
        <v>0</v>
      </c>
      <c r="AD23">
        <f>S23+AC23+AA23+AB23</f>
        <v>0</v>
      </c>
      <c r="AE23">
        <f>BL23*AS23*(BG23-BF23*(1000-AS23*BI23)/(1000-AS23*BH23))/(100*AZ23)</f>
        <v>0</v>
      </c>
      <c r="AF23">
        <f>1000*BL23*AS23*(BH23-BI23)/(100*AZ23*(1000-AS23*BH23))</f>
        <v>0</v>
      </c>
      <c r="AG23">
        <f>(AH23 - AI23 - BM23*1E3/(8.314*(BO23+273.15)) * AK23/BL23 * AJ23) * BL23/(100*AZ23) * (1000 - BI23)/1000</f>
        <v>0</v>
      </c>
      <c r="AH23">
        <v>405.1331154118616</v>
      </c>
      <c r="AI23">
        <v>402.1780909090908</v>
      </c>
      <c r="AJ23">
        <v>0.0001798912124654738</v>
      </c>
      <c r="AK23">
        <v>66.94011252105447</v>
      </c>
      <c r="AL23">
        <f>(AN23 - AM23 + BM23*1E3/(8.314*(BO23+273.15)) * AP23/BL23 * AO23) * BL23/(100*AZ23) * 1000/(1000 - AN23)</f>
        <v>0</v>
      </c>
      <c r="AM23">
        <v>0.3429789397408758</v>
      </c>
      <c r="AN23">
        <v>2.291313151515152</v>
      </c>
      <c r="AO23">
        <v>-0.0004185572429921758</v>
      </c>
      <c r="AP23">
        <v>79.85560063891809</v>
      </c>
      <c r="AQ23">
        <v>56</v>
      </c>
      <c r="AR23">
        <v>7</v>
      </c>
      <c r="AS23">
        <f>IF(AQ23*$H$13&gt;=AU23,1.0,(AU23/(AU23-AQ23*$H$13)))</f>
        <v>0</v>
      </c>
      <c r="AT23">
        <f>(AS23-1)*100</f>
        <v>0</v>
      </c>
      <c r="AU23">
        <f>MAX(0,($B$13+$C$13*BT23)/(1+$D$13*BT23)*BM23/(BO23+273)*$E$13)</f>
        <v>0</v>
      </c>
      <c r="AV23">
        <f>$B$11*BU23+$C$11*BV23+$F$11*CG23*(1-CJ23)</f>
        <v>0</v>
      </c>
      <c r="AW23">
        <f>AV23*AX23</f>
        <v>0</v>
      </c>
      <c r="AX23">
        <f>($B$11*$D$9+$C$11*$D$9+$F$11*((CT23+CL23)/MAX(CT23+CL23+CU23, 0.1)*$I$9+CU23/MAX(CT23+CL23+CU23, 0.1)*$J$9))/($B$11+$C$11+$F$11)</f>
        <v>0</v>
      </c>
      <c r="AY23">
        <f>($B$11*$K$9+$C$11*$K$9+$F$11*((CT23+CL23)/MAX(CT23+CL23+CU23, 0.1)*$P$9+CU23/MAX(CT23+CL23+CU23, 0.1)*$Q$9))/($B$11+$C$11+$F$11)</f>
        <v>0</v>
      </c>
      <c r="AZ23">
        <v>6</v>
      </c>
      <c r="BA23">
        <v>0.5</v>
      </c>
      <c r="BB23" t="s">
        <v>353</v>
      </c>
      <c r="BC23">
        <v>2</v>
      </c>
      <c r="BD23" t="b">
        <v>0</v>
      </c>
      <c r="BE23">
        <v>1751823031.599999</v>
      </c>
      <c r="BF23">
        <v>401.1993870967743</v>
      </c>
      <c r="BG23">
        <v>404.9787741935484</v>
      </c>
      <c r="BH23">
        <v>2.317960967741936</v>
      </c>
      <c r="BI23">
        <v>0.3426453225806452</v>
      </c>
      <c r="BJ23">
        <v>400.4913870967742</v>
      </c>
      <c r="BK23">
        <v>2.528089677419356</v>
      </c>
      <c r="BL23">
        <v>799.9965483870969</v>
      </c>
      <c r="BM23">
        <v>101.371064516129</v>
      </c>
      <c r="BN23">
        <v>0.1001023225806452</v>
      </c>
      <c r="BO23">
        <v>29.46929032258065</v>
      </c>
      <c r="BP23">
        <v>29.31435806451613</v>
      </c>
      <c r="BQ23">
        <v>999.9000000000003</v>
      </c>
      <c r="BR23">
        <v>0</v>
      </c>
      <c r="BS23">
        <v>0</v>
      </c>
      <c r="BT23">
        <v>9992.617741935483</v>
      </c>
      <c r="BU23">
        <v>0</v>
      </c>
      <c r="BV23">
        <v>0.00152894</v>
      </c>
      <c r="BW23">
        <v>-3.772555161290323</v>
      </c>
      <c r="BX23">
        <v>402.1384516129032</v>
      </c>
      <c r="BY23">
        <v>405.1176774193548</v>
      </c>
      <c r="BZ23">
        <v>1.975315161290323</v>
      </c>
      <c r="CA23">
        <v>404.9787741935484</v>
      </c>
      <c r="CB23">
        <v>0.3426453225806452</v>
      </c>
      <c r="CC23">
        <v>0.234974064516129</v>
      </c>
      <c r="CD23">
        <v>0.03473431612903227</v>
      </c>
      <c r="CE23">
        <v>-12.52982258064516</v>
      </c>
      <c r="CF23">
        <v>-33.96500967741936</v>
      </c>
      <c r="CG23">
        <v>1000.026967741936</v>
      </c>
      <c r="CH23">
        <v>0.960000322580645</v>
      </c>
      <c r="CI23">
        <v>0.03999949032258066</v>
      </c>
      <c r="CJ23">
        <v>0</v>
      </c>
      <c r="CK23">
        <v>1.952419354838709</v>
      </c>
      <c r="CL23">
        <v>0</v>
      </c>
      <c r="CM23">
        <v>6468.351290322581</v>
      </c>
      <c r="CN23">
        <v>7947.137096774195</v>
      </c>
      <c r="CO23">
        <v>35.25</v>
      </c>
      <c r="CP23">
        <v>38.06199999999998</v>
      </c>
      <c r="CQ23">
        <v>36.39699999999999</v>
      </c>
      <c r="CR23">
        <v>37.39899999999999</v>
      </c>
      <c r="CS23">
        <v>35.93699999999999</v>
      </c>
      <c r="CT23">
        <v>960.0267741935486</v>
      </c>
      <c r="CU23">
        <v>40</v>
      </c>
      <c r="CV23">
        <v>0</v>
      </c>
      <c r="CW23">
        <v>1751823057.9</v>
      </c>
      <c r="CX23">
        <v>0</v>
      </c>
      <c r="CY23">
        <v>1751823060.6</v>
      </c>
      <c r="CZ23" t="s">
        <v>377</v>
      </c>
      <c r="DA23">
        <v>1751823060.6</v>
      </c>
      <c r="DB23">
        <v>1751822721.6</v>
      </c>
      <c r="DC23">
        <v>7</v>
      </c>
      <c r="DD23">
        <v>-0.005</v>
      </c>
      <c r="DE23">
        <v>0.001</v>
      </c>
      <c r="DF23">
        <v>0.708</v>
      </c>
      <c r="DG23">
        <v>-0.186</v>
      </c>
      <c r="DH23">
        <v>405</v>
      </c>
      <c r="DI23">
        <v>0</v>
      </c>
      <c r="DJ23">
        <v>0.25</v>
      </c>
      <c r="DK23">
        <v>0.1</v>
      </c>
      <c r="DL23">
        <v>-3.774583</v>
      </c>
      <c r="DM23">
        <v>0.09499452157598882</v>
      </c>
      <c r="DN23">
        <v>0.02150602929413056</v>
      </c>
      <c r="DO23">
        <v>1</v>
      </c>
      <c r="DP23">
        <v>1.98587125</v>
      </c>
      <c r="DQ23">
        <v>-0.2620508442776787</v>
      </c>
      <c r="DR23">
        <v>0.02535873036919437</v>
      </c>
      <c r="DS23">
        <v>0</v>
      </c>
      <c r="DT23">
        <v>1</v>
      </c>
      <c r="DU23">
        <v>2</v>
      </c>
      <c r="DV23" t="s">
        <v>355</v>
      </c>
      <c r="DW23">
        <v>3.44143</v>
      </c>
      <c r="DX23">
        <v>2.78078</v>
      </c>
      <c r="DY23">
        <v>0.09582060000000001</v>
      </c>
      <c r="DZ23">
        <v>0.09655569999999999</v>
      </c>
      <c r="EA23">
        <v>0.019372</v>
      </c>
      <c r="EB23">
        <v>0.00301382</v>
      </c>
      <c r="EC23">
        <v>27059.2</v>
      </c>
      <c r="ED23">
        <v>30763.5</v>
      </c>
      <c r="EE23">
        <v>29082.7</v>
      </c>
      <c r="EF23">
        <v>34654.7</v>
      </c>
      <c r="EG23">
        <v>33005.3</v>
      </c>
      <c r="EH23">
        <v>42755.4</v>
      </c>
      <c r="EI23">
        <v>35800.2</v>
      </c>
      <c r="EJ23">
        <v>45708.6</v>
      </c>
      <c r="EK23">
        <v>2.38985</v>
      </c>
      <c r="EL23">
        <v>2.1261</v>
      </c>
      <c r="EM23">
        <v>0.0616908</v>
      </c>
      <c r="EN23">
        <v>0</v>
      </c>
      <c r="EO23">
        <v>28.3488</v>
      </c>
      <c r="EP23">
        <v>999.9</v>
      </c>
      <c r="EQ23">
        <v>54.7</v>
      </c>
      <c r="ER23">
        <v>27.3</v>
      </c>
      <c r="ES23">
        <v>19.657</v>
      </c>
      <c r="ET23">
        <v>61.84</v>
      </c>
      <c r="EU23">
        <v>25.5529</v>
      </c>
      <c r="EV23">
        <v>2</v>
      </c>
      <c r="EW23">
        <v>0.0500813</v>
      </c>
      <c r="EX23">
        <v>0</v>
      </c>
      <c r="EY23">
        <v>20.2923</v>
      </c>
      <c r="EZ23">
        <v>5.20965</v>
      </c>
      <c r="FA23">
        <v>11.9737</v>
      </c>
      <c r="FB23">
        <v>4.9904</v>
      </c>
      <c r="FC23">
        <v>3.272</v>
      </c>
      <c r="FD23">
        <v>3822.3</v>
      </c>
      <c r="FE23">
        <v>9999</v>
      </c>
      <c r="FF23">
        <v>9999</v>
      </c>
      <c r="FG23">
        <v>999.9</v>
      </c>
      <c r="FH23">
        <v>4.97262</v>
      </c>
      <c r="FI23">
        <v>1.86295</v>
      </c>
      <c r="FJ23">
        <v>1.86476</v>
      </c>
      <c r="FK23">
        <v>1.86316</v>
      </c>
      <c r="FL23">
        <v>1.8631</v>
      </c>
      <c r="FM23">
        <v>1.86371</v>
      </c>
      <c r="FN23">
        <v>1.8602</v>
      </c>
      <c r="FO23">
        <v>1.86299</v>
      </c>
      <c r="FP23">
        <v>0</v>
      </c>
      <c r="FQ23">
        <v>0</v>
      </c>
      <c r="FR23">
        <v>0</v>
      </c>
      <c r="FS23">
        <v>0</v>
      </c>
      <c r="FT23" t="s">
        <v>356</v>
      </c>
      <c r="FU23" t="s">
        <v>357</v>
      </c>
      <c r="FV23" t="s">
        <v>358</v>
      </c>
      <c r="FW23" t="s">
        <v>358</v>
      </c>
      <c r="FX23" t="s">
        <v>358</v>
      </c>
      <c r="FY23" t="s">
        <v>358</v>
      </c>
      <c r="FZ23">
        <v>0</v>
      </c>
      <c r="GA23">
        <v>100</v>
      </c>
      <c r="GB23">
        <v>100</v>
      </c>
      <c r="GC23">
        <v>0.708</v>
      </c>
      <c r="GD23">
        <v>-0.2099</v>
      </c>
      <c r="GE23">
        <v>0.9969967344495263</v>
      </c>
      <c r="GF23">
        <v>-0.001033730503750798</v>
      </c>
      <c r="GG23">
        <v>9.120241388950126E-07</v>
      </c>
      <c r="GH23">
        <v>-2.246115299815222E-10</v>
      </c>
      <c r="GI23">
        <v>-0.1773115937756053</v>
      </c>
      <c r="GJ23">
        <v>-0.01814858093373864</v>
      </c>
      <c r="GK23">
        <v>0.002091959988359369</v>
      </c>
      <c r="GL23">
        <v>-1.90871700788604E-05</v>
      </c>
      <c r="GM23">
        <v>2</v>
      </c>
      <c r="GN23">
        <v>2210</v>
      </c>
      <c r="GO23">
        <v>1</v>
      </c>
      <c r="GP23">
        <v>26</v>
      </c>
      <c r="GQ23">
        <v>1.7</v>
      </c>
      <c r="GR23">
        <v>5.3</v>
      </c>
      <c r="GS23">
        <v>1.25244</v>
      </c>
      <c r="GT23">
        <v>2.39014</v>
      </c>
      <c r="GU23">
        <v>2.34863</v>
      </c>
      <c r="GV23">
        <v>2.68188</v>
      </c>
      <c r="GW23">
        <v>2.39868</v>
      </c>
      <c r="GX23">
        <v>2.20703</v>
      </c>
      <c r="GY23">
        <v>33.3335</v>
      </c>
      <c r="GZ23">
        <v>16.1021</v>
      </c>
      <c r="HA23">
        <v>18</v>
      </c>
      <c r="HB23">
        <v>763.515</v>
      </c>
      <c r="HC23">
        <v>608.154</v>
      </c>
      <c r="HD23">
        <v>28.9688</v>
      </c>
      <c r="HE23">
        <v>28.2744</v>
      </c>
      <c r="HF23">
        <v>30.0006</v>
      </c>
      <c r="HG23">
        <v>28.0292</v>
      </c>
      <c r="HH23">
        <v>27.9805</v>
      </c>
      <c r="HI23">
        <v>25.1311</v>
      </c>
      <c r="HJ23">
        <v>100</v>
      </c>
      <c r="HK23">
        <v>0</v>
      </c>
      <c r="HL23">
        <v>-999.9</v>
      </c>
      <c r="HM23">
        <v>405</v>
      </c>
      <c r="HN23">
        <v>0</v>
      </c>
      <c r="HO23">
        <v>99.8528</v>
      </c>
      <c r="HP23">
        <v>99.95910000000001</v>
      </c>
    </row>
    <row r="24" spans="1:224">
      <c r="A24">
        <v>8</v>
      </c>
      <c r="B24">
        <v>1751823186.1</v>
      </c>
      <c r="C24">
        <v>799.5</v>
      </c>
      <c r="D24" t="s">
        <v>378</v>
      </c>
      <c r="E24" t="s">
        <v>379</v>
      </c>
      <c r="F24">
        <v>15</v>
      </c>
      <c r="G24">
        <v>1751823178.349999</v>
      </c>
      <c r="H24">
        <f>(I24)/1000</f>
        <v>0</v>
      </c>
      <c r="I24">
        <f>IF(BD24, AL24, AF24)</f>
        <v>0</v>
      </c>
      <c r="J24">
        <f>IF(BD24, AG24, AE24)</f>
        <v>0</v>
      </c>
      <c r="K24">
        <f>BF24 - IF(AS24&gt;1, J24*AZ24*100.0/(AU24), 0)</f>
        <v>0</v>
      </c>
      <c r="L24">
        <f>((R24-H24/2)*K24-J24)/(R24+H24/2)</f>
        <v>0</v>
      </c>
      <c r="M24">
        <f>L24*(BM24+BN24)/1000.0</f>
        <v>0</v>
      </c>
      <c r="N24">
        <f>(BF24 - IF(AS24&gt;1, J24*AZ24*100.0/(AU24), 0))*(BM24+BN24)/1000.0</f>
        <v>0</v>
      </c>
      <c r="O24">
        <f>2.0/((1/Q24-1/P24)+SIGN(Q24)*SQRT((1/Q24-1/P24)*(1/Q24-1/P24) + 4*BA24/((BA24+1)*(BA24+1))*(2*1/Q24*1/P24-1/P24*1/P24)))</f>
        <v>0</v>
      </c>
      <c r="P24">
        <f>IF(LEFT(BB24,1)&lt;&gt;"0",IF(LEFT(BB24,1)="1",3.0,BC24),$D$5+$E$5*(BT24*BM24/($K$5*1000))+$F$5*(BT24*BM24/($K$5*1000))*MAX(MIN(AZ24,$J$5),$I$5)*MAX(MIN(AZ24,$J$5),$I$5)+$G$5*MAX(MIN(AZ24,$J$5),$I$5)*(BT24*BM24/($K$5*1000))+$H$5*(BT24*BM24/($K$5*1000))*(BT24*BM24/($K$5*1000)))</f>
        <v>0</v>
      </c>
      <c r="Q24">
        <f>H24*(1000-(1000*0.61365*exp(17.502*U24/(240.97+U24))/(BM24+BN24)+BH24)/2)/(1000*0.61365*exp(17.502*U24/(240.97+U24))/(BM24+BN24)-BH24)</f>
        <v>0</v>
      </c>
      <c r="R24">
        <f>1/((BA24+1)/(O24/1.6)+1/(P24/1.37)) + BA24/((BA24+1)/(O24/1.6) + BA24/(P24/1.37))</f>
        <v>0</v>
      </c>
      <c r="S24">
        <f>(AV24*AY24)</f>
        <v>0</v>
      </c>
      <c r="T24">
        <f>(BO24+(S24+2*0.95*5.67E-8*(((BO24+$B$7)+273)^4-(BO24+273)^4)-44100*H24)/(1.84*29.3*P24+8*0.95*5.67E-8*(BO24+273)^3))</f>
        <v>0</v>
      </c>
      <c r="U24">
        <f>($C$7*BP24+$D$7*BQ24+$E$7*T24)</f>
        <v>0</v>
      </c>
      <c r="V24">
        <f>0.61365*exp(17.502*U24/(240.97+U24))</f>
        <v>0</v>
      </c>
      <c r="W24">
        <f>(X24/Y24*100)</f>
        <v>0</v>
      </c>
      <c r="X24">
        <f>BH24*(BM24+BN24)/1000</f>
        <v>0</v>
      </c>
      <c r="Y24">
        <f>0.61365*exp(17.502*BO24/(240.97+BO24))</f>
        <v>0</v>
      </c>
      <c r="Z24">
        <f>(V24-BH24*(BM24+BN24)/1000)</f>
        <v>0</v>
      </c>
      <c r="AA24">
        <f>(-H24*44100)</f>
        <v>0</v>
      </c>
      <c r="AB24">
        <f>2*29.3*P24*0.92*(BO24-U24)</f>
        <v>0</v>
      </c>
      <c r="AC24">
        <f>2*0.95*5.67E-8*(((BO24+$B$7)+273)^4-(U24+273)^4)</f>
        <v>0</v>
      </c>
      <c r="AD24">
        <f>S24+AC24+AA24+AB24</f>
        <v>0</v>
      </c>
      <c r="AE24">
        <f>BL24*AS24*(BG24-BF24*(1000-AS24*BI24)/(1000-AS24*BH24))/(100*AZ24)</f>
        <v>0</v>
      </c>
      <c r="AF24">
        <f>1000*BL24*AS24*(BH24-BI24)/(100*AZ24*(1000-AS24*BH24))</f>
        <v>0</v>
      </c>
      <c r="AG24">
        <f>(AH24 - AI24 - BM24*1E3/(8.314*(BO24+273.15)) * AK24/BL24 * AJ24) * BL24/(100*AZ24) * (1000 - BI24)/1000</f>
        <v>0</v>
      </c>
      <c r="AH24">
        <v>405.1489161433294</v>
      </c>
      <c r="AI24">
        <v>401.7513636363635</v>
      </c>
      <c r="AJ24">
        <v>0.001154439335739816</v>
      </c>
      <c r="AK24">
        <v>66.94002886715579</v>
      </c>
      <c r="AL24">
        <f>(AN24 - AM24 + BM24*1E3/(8.314*(BO24+273.15)) * AP24/BL24 * AO24) * BL24/(100*AZ24) * 1000/(1000 - AN24)</f>
        <v>0</v>
      </c>
      <c r="AM24">
        <v>0.3503522234877557</v>
      </c>
      <c r="AN24">
        <v>3.146423030303029</v>
      </c>
      <c r="AO24">
        <v>-0.0008690562589054258</v>
      </c>
      <c r="AP24">
        <v>79.80221801566928</v>
      </c>
      <c r="AQ24">
        <v>154</v>
      </c>
      <c r="AR24">
        <v>19</v>
      </c>
      <c r="AS24">
        <f>IF(AQ24*$H$13&gt;=AU24,1.0,(AU24/(AU24-AQ24*$H$13)))</f>
        <v>0</v>
      </c>
      <c r="AT24">
        <f>(AS24-1)*100</f>
        <v>0</v>
      </c>
      <c r="AU24">
        <f>MAX(0,($B$13+$C$13*BT24)/(1+$D$13*BT24)*BM24/(BO24+273)*$E$13)</f>
        <v>0</v>
      </c>
      <c r="AV24">
        <f>$B$11*BU24+$C$11*BV24+$F$11*CG24*(1-CJ24)</f>
        <v>0</v>
      </c>
      <c r="AW24">
        <f>AV24*AX24</f>
        <v>0</v>
      </c>
      <c r="AX24">
        <f>($B$11*$D$9+$C$11*$D$9+$F$11*((CT24+CL24)/MAX(CT24+CL24+CU24, 0.1)*$I$9+CU24/MAX(CT24+CL24+CU24, 0.1)*$J$9))/($B$11+$C$11+$F$11)</f>
        <v>0</v>
      </c>
      <c r="AY24">
        <f>($B$11*$K$9+$C$11*$K$9+$F$11*((CT24+CL24)/MAX(CT24+CL24+CU24, 0.1)*$P$9+CU24/MAX(CT24+CL24+CU24, 0.1)*$Q$9))/($B$11+$C$11+$F$11)</f>
        <v>0</v>
      </c>
      <c r="AZ24">
        <v>6</v>
      </c>
      <c r="BA24">
        <v>0.5</v>
      </c>
      <c r="BB24" t="s">
        <v>353</v>
      </c>
      <c r="BC24">
        <v>2</v>
      </c>
      <c r="BD24" t="b">
        <v>0</v>
      </c>
      <c r="BE24">
        <v>1751823178.349999</v>
      </c>
      <c r="BF24">
        <v>400.4146</v>
      </c>
      <c r="BG24">
        <v>404.987</v>
      </c>
      <c r="BH24">
        <v>3.177700666666667</v>
      </c>
      <c r="BI24">
        <v>0.3503941</v>
      </c>
      <c r="BJ24">
        <v>399.7646</v>
      </c>
      <c r="BK24">
        <v>3.393253</v>
      </c>
      <c r="BL24">
        <v>800.0144666666669</v>
      </c>
      <c r="BM24">
        <v>101.3577333333333</v>
      </c>
      <c r="BN24">
        <v>0.1003907133333333</v>
      </c>
      <c r="BO24">
        <v>29.80833333333333</v>
      </c>
      <c r="BP24">
        <v>29.88607000000001</v>
      </c>
      <c r="BQ24">
        <v>999.9000000000002</v>
      </c>
      <c r="BR24">
        <v>0</v>
      </c>
      <c r="BS24">
        <v>0</v>
      </c>
      <c r="BT24">
        <v>10002.33166666667</v>
      </c>
      <c r="BU24">
        <v>0</v>
      </c>
      <c r="BV24">
        <v>0.00152894</v>
      </c>
      <c r="BW24">
        <v>-4.512572</v>
      </c>
      <c r="BX24">
        <v>401.7511000000001</v>
      </c>
      <c r="BY24">
        <v>405.1289333333334</v>
      </c>
      <c r="BZ24">
        <v>2.827307</v>
      </c>
      <c r="CA24">
        <v>404.987</v>
      </c>
      <c r="CB24">
        <v>0.3503941</v>
      </c>
      <c r="CC24">
        <v>0.3220847999999999</v>
      </c>
      <c r="CD24">
        <v>0.03551517333333333</v>
      </c>
      <c r="CE24">
        <v>-8.560060999999999</v>
      </c>
      <c r="CF24">
        <v>-33.73887</v>
      </c>
      <c r="CG24">
        <v>1000.012666666667</v>
      </c>
      <c r="CH24">
        <v>0.9599857000000003</v>
      </c>
      <c r="CI24">
        <v>0.04001432333333334</v>
      </c>
      <c r="CJ24">
        <v>0</v>
      </c>
      <c r="CK24">
        <v>1.237333333333333</v>
      </c>
      <c r="CL24">
        <v>0</v>
      </c>
      <c r="CM24">
        <v>7180.716666666668</v>
      </c>
      <c r="CN24">
        <v>7946.963666666666</v>
      </c>
      <c r="CO24">
        <v>35.37913333333334</v>
      </c>
      <c r="CP24">
        <v>38.16219999999999</v>
      </c>
      <c r="CQ24">
        <v>36.4958</v>
      </c>
      <c r="CR24">
        <v>37.625</v>
      </c>
      <c r="CS24">
        <v>36.125</v>
      </c>
      <c r="CT24">
        <v>959.9973333333332</v>
      </c>
      <c r="CU24">
        <v>40.01533333333334</v>
      </c>
      <c r="CV24">
        <v>0</v>
      </c>
      <c r="CW24">
        <v>1751823204.3</v>
      </c>
      <c r="CX24">
        <v>0</v>
      </c>
      <c r="CY24">
        <v>1751823205.6</v>
      </c>
      <c r="CZ24" t="s">
        <v>380</v>
      </c>
      <c r="DA24">
        <v>1751823205.6</v>
      </c>
      <c r="DB24">
        <v>1751822721.6</v>
      </c>
      <c r="DC24">
        <v>8</v>
      </c>
      <c r="DD24">
        <v>-0.058</v>
      </c>
      <c r="DE24">
        <v>0.001</v>
      </c>
      <c r="DF24">
        <v>0.65</v>
      </c>
      <c r="DG24">
        <v>-0.186</v>
      </c>
      <c r="DH24">
        <v>405</v>
      </c>
      <c r="DI24">
        <v>0</v>
      </c>
      <c r="DJ24">
        <v>0.45</v>
      </c>
      <c r="DK24">
        <v>0.1</v>
      </c>
      <c r="DL24">
        <v>-4.524640975609756</v>
      </c>
      <c r="DM24">
        <v>0.2108220209059057</v>
      </c>
      <c r="DN24">
        <v>0.03596842726647628</v>
      </c>
      <c r="DO24">
        <v>0</v>
      </c>
      <c r="DP24">
        <v>2.848303414634147</v>
      </c>
      <c r="DQ24">
        <v>-0.3320734494773507</v>
      </c>
      <c r="DR24">
        <v>0.03291040562035614</v>
      </c>
      <c r="DS24">
        <v>0</v>
      </c>
      <c r="DT24">
        <v>0</v>
      </c>
      <c r="DU24">
        <v>2</v>
      </c>
      <c r="DV24" t="s">
        <v>365</v>
      </c>
      <c r="DW24">
        <v>3.4415</v>
      </c>
      <c r="DX24">
        <v>2.78122</v>
      </c>
      <c r="DY24">
        <v>0.0956176</v>
      </c>
      <c r="DZ24">
        <v>0.09649249999999999</v>
      </c>
      <c r="EA24">
        <v>0.0251752</v>
      </c>
      <c r="EB24">
        <v>0.00307378</v>
      </c>
      <c r="EC24">
        <v>27056</v>
      </c>
      <c r="ED24">
        <v>30755</v>
      </c>
      <c r="EE24">
        <v>29073.5</v>
      </c>
      <c r="EF24">
        <v>34643.7</v>
      </c>
      <c r="EG24">
        <v>32799.2</v>
      </c>
      <c r="EH24">
        <v>42738.6</v>
      </c>
      <c r="EI24">
        <v>35789.1</v>
      </c>
      <c r="EJ24">
        <v>45693.6</v>
      </c>
      <c r="EK24">
        <v>2.23358</v>
      </c>
      <c r="EL24">
        <v>2.11867</v>
      </c>
      <c r="EM24">
        <v>0.06701799999999999</v>
      </c>
      <c r="EN24">
        <v>0</v>
      </c>
      <c r="EO24">
        <v>28.7962</v>
      </c>
      <c r="EP24">
        <v>999.9</v>
      </c>
      <c r="EQ24">
        <v>53.5</v>
      </c>
      <c r="ER24">
        <v>27.7</v>
      </c>
      <c r="ES24">
        <v>19.6828</v>
      </c>
      <c r="ET24">
        <v>62.11</v>
      </c>
      <c r="EU24">
        <v>25.617</v>
      </c>
      <c r="EV24">
        <v>2</v>
      </c>
      <c r="EW24">
        <v>0.06750249999999999</v>
      </c>
      <c r="EX24">
        <v>0</v>
      </c>
      <c r="EY24">
        <v>20.2921</v>
      </c>
      <c r="EZ24">
        <v>5.21115</v>
      </c>
      <c r="FA24">
        <v>11.974</v>
      </c>
      <c r="FB24">
        <v>4.9904</v>
      </c>
      <c r="FC24">
        <v>3.272</v>
      </c>
      <c r="FD24">
        <v>3826.7</v>
      </c>
      <c r="FE24">
        <v>9999</v>
      </c>
      <c r="FF24">
        <v>9999</v>
      </c>
      <c r="FG24">
        <v>999.9</v>
      </c>
      <c r="FH24">
        <v>4.97262</v>
      </c>
      <c r="FI24">
        <v>1.86295</v>
      </c>
      <c r="FJ24">
        <v>1.86478</v>
      </c>
      <c r="FK24">
        <v>1.86325</v>
      </c>
      <c r="FL24">
        <v>1.86324</v>
      </c>
      <c r="FM24">
        <v>1.86372</v>
      </c>
      <c r="FN24">
        <v>1.8602</v>
      </c>
      <c r="FO24">
        <v>1.86301</v>
      </c>
      <c r="FP24">
        <v>0</v>
      </c>
      <c r="FQ24">
        <v>0</v>
      </c>
      <c r="FR24">
        <v>0</v>
      </c>
      <c r="FS24">
        <v>0</v>
      </c>
      <c r="FT24" t="s">
        <v>356</v>
      </c>
      <c r="FU24" t="s">
        <v>357</v>
      </c>
      <c r="FV24" t="s">
        <v>358</v>
      </c>
      <c r="FW24" t="s">
        <v>358</v>
      </c>
      <c r="FX24" t="s">
        <v>358</v>
      </c>
      <c r="FY24" t="s">
        <v>358</v>
      </c>
      <c r="FZ24">
        <v>0</v>
      </c>
      <c r="GA24">
        <v>100</v>
      </c>
      <c r="GB24">
        <v>100</v>
      </c>
      <c r="GC24">
        <v>0.65</v>
      </c>
      <c r="GD24">
        <v>-0.2154</v>
      </c>
      <c r="GE24">
        <v>0.9916687205027856</v>
      </c>
      <c r="GF24">
        <v>-0.001033730503750798</v>
      </c>
      <c r="GG24">
        <v>9.120241388950126E-07</v>
      </c>
      <c r="GH24">
        <v>-2.246115299815222E-10</v>
      </c>
      <c r="GI24">
        <v>-0.1773115937756053</v>
      </c>
      <c r="GJ24">
        <v>-0.01814858093373864</v>
      </c>
      <c r="GK24">
        <v>0.002091959988359369</v>
      </c>
      <c r="GL24">
        <v>-1.90871700788604E-05</v>
      </c>
      <c r="GM24">
        <v>2</v>
      </c>
      <c r="GN24">
        <v>2210</v>
      </c>
      <c r="GO24">
        <v>1</v>
      </c>
      <c r="GP24">
        <v>26</v>
      </c>
      <c r="GQ24">
        <v>2.1</v>
      </c>
      <c r="GR24">
        <v>7.7</v>
      </c>
      <c r="GS24">
        <v>1.25366</v>
      </c>
      <c r="GT24">
        <v>2.39624</v>
      </c>
      <c r="GU24">
        <v>2.34741</v>
      </c>
      <c r="GV24">
        <v>2.67822</v>
      </c>
      <c r="GW24">
        <v>2.39868</v>
      </c>
      <c r="GX24">
        <v>2.22412</v>
      </c>
      <c r="GY24">
        <v>33.6479</v>
      </c>
      <c r="GZ24">
        <v>16.0934</v>
      </c>
      <c r="HA24">
        <v>18</v>
      </c>
      <c r="HB24">
        <v>643.994</v>
      </c>
      <c r="HC24">
        <v>604.974</v>
      </c>
      <c r="HD24">
        <v>29.2904</v>
      </c>
      <c r="HE24">
        <v>28.5235</v>
      </c>
      <c r="HF24">
        <v>30.0006</v>
      </c>
      <c r="HG24">
        <v>28.2797</v>
      </c>
      <c r="HH24">
        <v>28.2243</v>
      </c>
      <c r="HI24">
        <v>25.153</v>
      </c>
      <c r="HJ24">
        <v>100</v>
      </c>
      <c r="HK24">
        <v>0</v>
      </c>
      <c r="HL24">
        <v>-999.9</v>
      </c>
      <c r="HM24">
        <v>405</v>
      </c>
      <c r="HN24">
        <v>0</v>
      </c>
      <c r="HO24">
        <v>99.8215</v>
      </c>
      <c r="HP24">
        <v>99.9268</v>
      </c>
    </row>
    <row r="25" spans="1:224">
      <c r="A25">
        <v>9</v>
      </c>
      <c r="B25">
        <v>1751823284</v>
      </c>
      <c r="C25">
        <v>897.4000000953674</v>
      </c>
      <c r="D25" t="s">
        <v>381</v>
      </c>
      <c r="E25" t="s">
        <v>382</v>
      </c>
      <c r="F25">
        <v>15</v>
      </c>
      <c r="G25">
        <v>1751823276.025807</v>
      </c>
      <c r="H25">
        <f>(I25)/1000</f>
        <v>0</v>
      </c>
      <c r="I25">
        <f>IF(BD25, AL25, AF25)</f>
        <v>0</v>
      </c>
      <c r="J25">
        <f>IF(BD25, AG25, AE25)</f>
        <v>0</v>
      </c>
      <c r="K25">
        <f>BF25 - IF(AS25&gt;1, J25*AZ25*100.0/(AU25), 0)</f>
        <v>0</v>
      </c>
      <c r="L25">
        <f>((R25-H25/2)*K25-J25)/(R25+H25/2)</f>
        <v>0</v>
      </c>
      <c r="M25">
        <f>L25*(BM25+BN25)/1000.0</f>
        <v>0</v>
      </c>
      <c r="N25">
        <f>(BF25 - IF(AS25&gt;1, J25*AZ25*100.0/(AU25), 0))*(BM25+BN25)/1000.0</f>
        <v>0</v>
      </c>
      <c r="O25">
        <f>2.0/((1/Q25-1/P25)+SIGN(Q25)*SQRT((1/Q25-1/P25)*(1/Q25-1/P25) + 4*BA25/((BA25+1)*(BA25+1))*(2*1/Q25*1/P25-1/P25*1/P25)))</f>
        <v>0</v>
      </c>
      <c r="P25">
        <f>IF(LEFT(BB25,1)&lt;&gt;"0",IF(LEFT(BB25,1)="1",3.0,BC25),$D$5+$E$5*(BT25*BM25/($K$5*1000))+$F$5*(BT25*BM25/($K$5*1000))*MAX(MIN(AZ25,$J$5),$I$5)*MAX(MIN(AZ25,$J$5),$I$5)+$G$5*MAX(MIN(AZ25,$J$5),$I$5)*(BT25*BM25/($K$5*1000))+$H$5*(BT25*BM25/($K$5*1000))*(BT25*BM25/($K$5*1000)))</f>
        <v>0</v>
      </c>
      <c r="Q25">
        <f>H25*(1000-(1000*0.61365*exp(17.502*U25/(240.97+U25))/(BM25+BN25)+BH25)/2)/(1000*0.61365*exp(17.502*U25/(240.97+U25))/(BM25+BN25)-BH25)</f>
        <v>0</v>
      </c>
      <c r="R25">
        <f>1/((BA25+1)/(O25/1.6)+1/(P25/1.37)) + BA25/((BA25+1)/(O25/1.6) + BA25/(P25/1.37))</f>
        <v>0</v>
      </c>
      <c r="S25">
        <f>(AV25*AY25)</f>
        <v>0</v>
      </c>
      <c r="T25">
        <f>(BO25+(S25+2*0.95*5.67E-8*(((BO25+$B$7)+273)^4-(BO25+273)^4)-44100*H25)/(1.84*29.3*P25+8*0.95*5.67E-8*(BO25+273)^3))</f>
        <v>0</v>
      </c>
      <c r="U25">
        <f>($C$7*BP25+$D$7*BQ25+$E$7*T25)</f>
        <v>0</v>
      </c>
      <c r="V25">
        <f>0.61365*exp(17.502*U25/(240.97+U25))</f>
        <v>0</v>
      </c>
      <c r="W25">
        <f>(X25/Y25*100)</f>
        <v>0</v>
      </c>
      <c r="X25">
        <f>BH25*(BM25+BN25)/1000</f>
        <v>0</v>
      </c>
      <c r="Y25">
        <f>0.61365*exp(17.502*BO25/(240.97+BO25))</f>
        <v>0</v>
      </c>
      <c r="Z25">
        <f>(V25-BH25*(BM25+BN25)/1000)</f>
        <v>0</v>
      </c>
      <c r="AA25">
        <f>(-H25*44100)</f>
        <v>0</v>
      </c>
      <c r="AB25">
        <f>2*29.3*P25*0.92*(BO25-U25)</f>
        <v>0</v>
      </c>
      <c r="AC25">
        <f>2*0.95*5.67E-8*(((BO25+$B$7)+273)^4-(U25+273)^4)</f>
        <v>0</v>
      </c>
      <c r="AD25">
        <f>S25+AC25+AA25+AB25</f>
        <v>0</v>
      </c>
      <c r="AE25">
        <f>BL25*AS25*(BG25-BF25*(1000-AS25*BI25)/(1000-AS25*BH25))/(100*AZ25)</f>
        <v>0</v>
      </c>
      <c r="AF25">
        <f>1000*BL25*AS25*(BH25-BI25)/(100*AZ25*(1000-AS25*BH25))</f>
        <v>0</v>
      </c>
      <c r="AG25">
        <f>(AH25 - AI25 - BM25*1E3/(8.314*(BO25+273.15)) * AK25/BL25 * AJ25) * BL25/(100*AZ25) * (1000 - BI25)/1000</f>
        <v>0</v>
      </c>
      <c r="AH25">
        <v>405.1035623484775</v>
      </c>
      <c r="AI25">
        <v>404.9097696969697</v>
      </c>
      <c r="AJ25">
        <v>-0.003181024975483736</v>
      </c>
      <c r="AK25">
        <v>66.94004624853733</v>
      </c>
      <c r="AL25">
        <f>(AN25 - AM25 + BM25*1E3/(8.314*(BO25+273.15)) * AP25/BL25 * AO25) * BL25/(100*AZ25) * 1000/(1000 - AN25)</f>
        <v>0</v>
      </c>
      <c r="AM25">
        <v>0.3536756036488209</v>
      </c>
      <c r="AN25">
        <v>1.333520848484848</v>
      </c>
      <c r="AO25">
        <v>-0.008140688012088313</v>
      </c>
      <c r="AP25">
        <v>79.84942034268761</v>
      </c>
      <c r="AQ25">
        <v>0</v>
      </c>
      <c r="AR25">
        <v>0</v>
      </c>
      <c r="AS25">
        <f>IF(AQ25*$H$13&gt;=AU25,1.0,(AU25/(AU25-AQ25*$H$13)))</f>
        <v>0</v>
      </c>
      <c r="AT25">
        <f>(AS25-1)*100</f>
        <v>0</v>
      </c>
      <c r="AU25">
        <f>MAX(0,($B$13+$C$13*BT25)/(1+$D$13*BT25)*BM25/(BO25+273)*$E$13)</f>
        <v>0</v>
      </c>
      <c r="AV25">
        <f>$B$11*BU25+$C$11*BV25+$F$11*CG25*(1-CJ25)</f>
        <v>0</v>
      </c>
      <c r="AW25">
        <f>AV25*AX25</f>
        <v>0</v>
      </c>
      <c r="AX25">
        <f>($B$11*$D$9+$C$11*$D$9+$F$11*((CT25+CL25)/MAX(CT25+CL25+CU25, 0.1)*$I$9+CU25/MAX(CT25+CL25+CU25, 0.1)*$J$9))/($B$11+$C$11+$F$11)</f>
        <v>0</v>
      </c>
      <c r="AY25">
        <f>($B$11*$K$9+$C$11*$K$9+$F$11*((CT25+CL25)/MAX(CT25+CL25+CU25, 0.1)*$P$9+CU25/MAX(CT25+CL25+CU25, 0.1)*$Q$9))/($B$11+$C$11+$F$11)</f>
        <v>0</v>
      </c>
      <c r="AZ25">
        <v>6</v>
      </c>
      <c r="BA25">
        <v>0.5</v>
      </c>
      <c r="BB25" t="s">
        <v>353</v>
      </c>
      <c r="BC25">
        <v>2</v>
      </c>
      <c r="BD25" t="b">
        <v>0</v>
      </c>
      <c r="BE25">
        <v>1751823276.025807</v>
      </c>
      <c r="BF25">
        <v>404.2741935483871</v>
      </c>
      <c r="BG25">
        <v>404.9805483870967</v>
      </c>
      <c r="BH25">
        <v>1.430028709677419</v>
      </c>
      <c r="BI25">
        <v>0.3540385483870968</v>
      </c>
      <c r="BJ25">
        <v>403.6851935483871</v>
      </c>
      <c r="BK25">
        <v>1.615028709677419</v>
      </c>
      <c r="BL25">
        <v>800.026129032258</v>
      </c>
      <c r="BM25">
        <v>101.3575806451613</v>
      </c>
      <c r="BN25">
        <v>0.1002660032258064</v>
      </c>
      <c r="BO25">
        <v>29.90025161290323</v>
      </c>
      <c r="BP25">
        <v>30.13942903225806</v>
      </c>
      <c r="BQ25">
        <v>999.9000000000003</v>
      </c>
      <c r="BR25">
        <v>0</v>
      </c>
      <c r="BS25">
        <v>0</v>
      </c>
      <c r="BT25">
        <v>10006.10709677419</v>
      </c>
      <c r="BU25">
        <v>0</v>
      </c>
      <c r="BV25">
        <v>0.00152894</v>
      </c>
      <c r="BW25">
        <v>-0.6453798387096774</v>
      </c>
      <c r="BX25">
        <v>404.9075161290323</v>
      </c>
      <c r="BY25">
        <v>405.1238387096774</v>
      </c>
      <c r="BZ25">
        <v>1.05975035483871</v>
      </c>
      <c r="CA25">
        <v>404.9805483870967</v>
      </c>
      <c r="CB25">
        <v>0.3540385483870968</v>
      </c>
      <c r="CC25">
        <v>0.1432983548387097</v>
      </c>
      <c r="CD25">
        <v>0.03588451935483871</v>
      </c>
      <c r="CE25">
        <v>-18.49827419354839</v>
      </c>
      <c r="CF25">
        <v>-33.63347419354839</v>
      </c>
      <c r="CG25">
        <v>999.9965806451614</v>
      </c>
      <c r="CH25">
        <v>0.9600150645161293</v>
      </c>
      <c r="CI25">
        <v>0.03998507741935483</v>
      </c>
      <c r="CJ25">
        <v>0</v>
      </c>
      <c r="CK25">
        <v>1.092741935483871</v>
      </c>
      <c r="CL25">
        <v>0</v>
      </c>
      <c r="CM25">
        <v>3457.58870967742</v>
      </c>
      <c r="CN25">
        <v>7946.939032258062</v>
      </c>
      <c r="CO25">
        <v>35.375</v>
      </c>
      <c r="CP25">
        <v>38.17699999999999</v>
      </c>
      <c r="CQ25">
        <v>36.5</v>
      </c>
      <c r="CR25">
        <v>37.61483870967741</v>
      </c>
      <c r="CS25">
        <v>36.125</v>
      </c>
      <c r="CT25">
        <v>960.0116129032259</v>
      </c>
      <c r="CU25">
        <v>39.98387096774194</v>
      </c>
      <c r="CV25">
        <v>0</v>
      </c>
      <c r="CW25">
        <v>1751823302.7</v>
      </c>
      <c r="CX25">
        <v>0</v>
      </c>
      <c r="CY25">
        <v>1751823307.5</v>
      </c>
      <c r="CZ25" t="s">
        <v>383</v>
      </c>
      <c r="DA25">
        <v>1751823302</v>
      </c>
      <c r="DB25">
        <v>1751823307.5</v>
      </c>
      <c r="DC25">
        <v>9</v>
      </c>
      <c r="DD25">
        <v>-0.061</v>
      </c>
      <c r="DE25">
        <v>0.002</v>
      </c>
      <c r="DF25">
        <v>0.589</v>
      </c>
      <c r="DG25">
        <v>-0.185</v>
      </c>
      <c r="DH25">
        <v>405</v>
      </c>
      <c r="DI25">
        <v>0</v>
      </c>
      <c r="DJ25">
        <v>0.26</v>
      </c>
      <c r="DK25">
        <v>0.09</v>
      </c>
      <c r="DL25">
        <v>-0.6524307804878049</v>
      </c>
      <c r="DM25">
        <v>0.2021644622325568</v>
      </c>
      <c r="DN25">
        <v>0.04175137886930682</v>
      </c>
      <c r="DO25">
        <v>0</v>
      </c>
      <c r="DP25">
        <v>1.119921926829268</v>
      </c>
      <c r="DQ25">
        <v>-1.099636093353126</v>
      </c>
      <c r="DR25">
        <v>0.1112577741330619</v>
      </c>
      <c r="DS25">
        <v>0</v>
      </c>
      <c r="DT25">
        <v>0</v>
      </c>
      <c r="DU25">
        <v>2</v>
      </c>
      <c r="DV25" t="s">
        <v>365</v>
      </c>
      <c r="DW25">
        <v>3.44155</v>
      </c>
      <c r="DX25">
        <v>2.78062</v>
      </c>
      <c r="DY25">
        <v>0.0962913</v>
      </c>
      <c r="DZ25">
        <v>0.096458</v>
      </c>
      <c r="EA25">
        <v>0.012339</v>
      </c>
      <c r="EB25">
        <v>0.00310529</v>
      </c>
      <c r="EC25">
        <v>27031.5</v>
      </c>
      <c r="ED25">
        <v>30751.9</v>
      </c>
      <c r="EE25">
        <v>29069.4</v>
      </c>
      <c r="EF25">
        <v>34639.5</v>
      </c>
      <c r="EG25">
        <v>33228.2</v>
      </c>
      <c r="EH25">
        <v>42732.4</v>
      </c>
      <c r="EI25">
        <v>35785.1</v>
      </c>
      <c r="EJ25">
        <v>45688.5</v>
      </c>
      <c r="EK25">
        <v>2.48565</v>
      </c>
      <c r="EL25">
        <v>2.11515</v>
      </c>
      <c r="EM25">
        <v>0.0790693</v>
      </c>
      <c r="EN25">
        <v>0</v>
      </c>
      <c r="EO25">
        <v>28.86</v>
      </c>
      <c r="EP25">
        <v>999.9</v>
      </c>
      <c r="EQ25">
        <v>52.8</v>
      </c>
      <c r="ER25">
        <v>27.9</v>
      </c>
      <c r="ES25">
        <v>19.6529</v>
      </c>
      <c r="ET25">
        <v>61.46</v>
      </c>
      <c r="EU25">
        <v>25.5849</v>
      </c>
      <c r="EV25">
        <v>2</v>
      </c>
      <c r="EW25">
        <v>0.0761585</v>
      </c>
      <c r="EX25">
        <v>0</v>
      </c>
      <c r="EY25">
        <v>20.2918</v>
      </c>
      <c r="EZ25">
        <v>5.2101</v>
      </c>
      <c r="FA25">
        <v>11.9739</v>
      </c>
      <c r="FB25">
        <v>4.98975</v>
      </c>
      <c r="FC25">
        <v>3.272</v>
      </c>
      <c r="FD25">
        <v>3829.4</v>
      </c>
      <c r="FE25">
        <v>9999</v>
      </c>
      <c r="FF25">
        <v>9999</v>
      </c>
      <c r="FG25">
        <v>999.9</v>
      </c>
      <c r="FH25">
        <v>4.9726</v>
      </c>
      <c r="FI25">
        <v>1.86295</v>
      </c>
      <c r="FJ25">
        <v>1.86478</v>
      </c>
      <c r="FK25">
        <v>1.86325</v>
      </c>
      <c r="FL25">
        <v>1.86324</v>
      </c>
      <c r="FM25">
        <v>1.86372</v>
      </c>
      <c r="FN25">
        <v>1.8602</v>
      </c>
      <c r="FO25">
        <v>1.86304</v>
      </c>
      <c r="FP25">
        <v>0</v>
      </c>
      <c r="FQ25">
        <v>0</v>
      </c>
      <c r="FR25">
        <v>0</v>
      </c>
      <c r="FS25">
        <v>0</v>
      </c>
      <c r="FT25" t="s">
        <v>356</v>
      </c>
      <c r="FU25" t="s">
        <v>357</v>
      </c>
      <c r="FV25" t="s">
        <v>358</v>
      </c>
      <c r="FW25" t="s">
        <v>358</v>
      </c>
      <c r="FX25" t="s">
        <v>358</v>
      </c>
      <c r="FY25" t="s">
        <v>358</v>
      </c>
      <c r="FZ25">
        <v>0</v>
      </c>
      <c r="GA25">
        <v>100</v>
      </c>
      <c r="GB25">
        <v>100</v>
      </c>
      <c r="GC25">
        <v>0.589</v>
      </c>
      <c r="GD25">
        <v>-0.185</v>
      </c>
      <c r="GE25">
        <v>0.9333658050185869</v>
      </c>
      <c r="GF25">
        <v>-0.001033730503750798</v>
      </c>
      <c r="GG25">
        <v>9.120241388950126E-07</v>
      </c>
      <c r="GH25">
        <v>-2.246115299815222E-10</v>
      </c>
      <c r="GI25">
        <v>-0.1773115937756053</v>
      </c>
      <c r="GJ25">
        <v>-0.01814858093373864</v>
      </c>
      <c r="GK25">
        <v>0.002091959988359369</v>
      </c>
      <c r="GL25">
        <v>-1.90871700788604E-05</v>
      </c>
      <c r="GM25">
        <v>2</v>
      </c>
      <c r="GN25">
        <v>2210</v>
      </c>
      <c r="GO25">
        <v>1</v>
      </c>
      <c r="GP25">
        <v>26</v>
      </c>
      <c r="GQ25">
        <v>1.3</v>
      </c>
      <c r="GR25">
        <v>9.4</v>
      </c>
      <c r="GS25">
        <v>1.25488</v>
      </c>
      <c r="GT25">
        <v>2.3999</v>
      </c>
      <c r="GU25">
        <v>2.34741</v>
      </c>
      <c r="GV25">
        <v>2.67822</v>
      </c>
      <c r="GW25">
        <v>2.39868</v>
      </c>
      <c r="GX25">
        <v>2.22656</v>
      </c>
      <c r="GY25">
        <v>33.8283</v>
      </c>
      <c r="GZ25">
        <v>16.0846</v>
      </c>
      <c r="HA25">
        <v>18</v>
      </c>
      <c r="HB25">
        <v>852.563</v>
      </c>
      <c r="HC25">
        <v>603.625</v>
      </c>
      <c r="HD25">
        <v>29.4481</v>
      </c>
      <c r="HE25">
        <v>28.662</v>
      </c>
      <c r="HF25">
        <v>30.0003</v>
      </c>
      <c r="HG25">
        <v>28.4012</v>
      </c>
      <c r="HH25">
        <v>28.3556</v>
      </c>
      <c r="HI25">
        <v>25.1711</v>
      </c>
      <c r="HJ25">
        <v>100</v>
      </c>
      <c r="HK25">
        <v>0</v>
      </c>
      <c r="HL25">
        <v>-999.9</v>
      </c>
      <c r="HM25">
        <v>405</v>
      </c>
      <c r="HN25">
        <v>0</v>
      </c>
      <c r="HO25">
        <v>99.809</v>
      </c>
      <c r="HP25">
        <v>99.9152</v>
      </c>
    </row>
    <row r="26" spans="1:224">
      <c r="A26">
        <v>10</v>
      </c>
      <c r="B26">
        <v>1751823406.5</v>
      </c>
      <c r="C26">
        <v>1019.900000095367</v>
      </c>
      <c r="D26" t="s">
        <v>384</v>
      </c>
      <c r="E26" t="s">
        <v>385</v>
      </c>
      <c r="F26">
        <v>15</v>
      </c>
      <c r="G26">
        <v>1751823398.5</v>
      </c>
      <c r="H26">
        <f>(I26)/1000</f>
        <v>0</v>
      </c>
      <c r="I26">
        <f>IF(BD26, AL26, AF26)</f>
        <v>0</v>
      </c>
      <c r="J26">
        <f>IF(BD26, AG26, AE26)</f>
        <v>0</v>
      </c>
      <c r="K26">
        <f>BF26 - IF(AS26&gt;1, J26*AZ26*100.0/(AU26), 0)</f>
        <v>0</v>
      </c>
      <c r="L26">
        <f>((R26-H26/2)*K26-J26)/(R26+H26/2)</f>
        <v>0</v>
      </c>
      <c r="M26">
        <f>L26*(BM26+BN26)/1000.0</f>
        <v>0</v>
      </c>
      <c r="N26">
        <f>(BF26 - IF(AS26&gt;1, J26*AZ26*100.0/(AU26), 0))*(BM26+BN26)/1000.0</f>
        <v>0</v>
      </c>
      <c r="O26">
        <f>2.0/((1/Q26-1/P26)+SIGN(Q26)*SQRT((1/Q26-1/P26)*(1/Q26-1/P26) + 4*BA26/((BA26+1)*(BA26+1))*(2*1/Q26*1/P26-1/P26*1/P26)))</f>
        <v>0</v>
      </c>
      <c r="P26">
        <f>IF(LEFT(BB26,1)&lt;&gt;"0",IF(LEFT(BB26,1)="1",3.0,BC26),$D$5+$E$5*(BT26*BM26/($K$5*1000))+$F$5*(BT26*BM26/($K$5*1000))*MAX(MIN(AZ26,$J$5),$I$5)*MAX(MIN(AZ26,$J$5),$I$5)+$G$5*MAX(MIN(AZ26,$J$5),$I$5)*(BT26*BM26/($K$5*1000))+$H$5*(BT26*BM26/($K$5*1000))*(BT26*BM26/($K$5*1000)))</f>
        <v>0</v>
      </c>
      <c r="Q26">
        <f>H26*(1000-(1000*0.61365*exp(17.502*U26/(240.97+U26))/(BM26+BN26)+BH26)/2)/(1000*0.61365*exp(17.502*U26/(240.97+U26))/(BM26+BN26)-BH26)</f>
        <v>0</v>
      </c>
      <c r="R26">
        <f>1/((BA26+1)/(O26/1.6)+1/(P26/1.37)) + BA26/((BA26+1)/(O26/1.6) + BA26/(P26/1.37))</f>
        <v>0</v>
      </c>
      <c r="S26">
        <f>(AV26*AY26)</f>
        <v>0</v>
      </c>
      <c r="T26">
        <f>(BO26+(S26+2*0.95*5.67E-8*(((BO26+$B$7)+273)^4-(BO26+273)^4)-44100*H26)/(1.84*29.3*P26+8*0.95*5.67E-8*(BO26+273)^3))</f>
        <v>0</v>
      </c>
      <c r="U26">
        <f>($C$7*BP26+$D$7*BQ26+$E$7*T26)</f>
        <v>0</v>
      </c>
      <c r="V26">
        <f>0.61365*exp(17.502*U26/(240.97+U26))</f>
        <v>0</v>
      </c>
      <c r="W26">
        <f>(X26/Y26*100)</f>
        <v>0</v>
      </c>
      <c r="X26">
        <f>BH26*(BM26+BN26)/1000</f>
        <v>0</v>
      </c>
      <c r="Y26">
        <f>0.61365*exp(17.502*BO26/(240.97+BO26))</f>
        <v>0</v>
      </c>
      <c r="Z26">
        <f>(V26-BH26*(BM26+BN26)/1000)</f>
        <v>0</v>
      </c>
      <c r="AA26">
        <f>(-H26*44100)</f>
        <v>0</v>
      </c>
      <c r="AB26">
        <f>2*29.3*P26*0.92*(BO26-U26)</f>
        <v>0</v>
      </c>
      <c r="AC26">
        <f>2*0.95*5.67E-8*(((BO26+$B$7)+273)^4-(U26+273)^4)</f>
        <v>0</v>
      </c>
      <c r="AD26">
        <f>S26+AC26+AA26+AB26</f>
        <v>0</v>
      </c>
      <c r="AE26">
        <f>BL26*AS26*(BG26-BF26*(1000-AS26*BI26)/(1000-AS26*BH26))/(100*AZ26)</f>
        <v>0</v>
      </c>
      <c r="AF26">
        <f>1000*BL26*AS26*(BH26-BI26)/(100*AZ26*(1000-AS26*BH26))</f>
        <v>0</v>
      </c>
      <c r="AG26">
        <f>(AH26 - AI26 - BM26*1E3/(8.314*(BO26+273.15)) * AK26/BL26 * AJ26) * BL26/(100*AZ26) * (1000 - BI26)/1000</f>
        <v>0</v>
      </c>
      <c r="AH26">
        <v>405.1048927564341</v>
      </c>
      <c r="AI26">
        <v>419.5721212121209</v>
      </c>
      <c r="AJ26">
        <v>0.0003523547128727357</v>
      </c>
      <c r="AK26">
        <v>66.94003562888263</v>
      </c>
      <c r="AL26">
        <f>(AN26 - AM26 + BM26*1E3/(8.314*(BO26+273.15)) * AP26/BL26 * AO26) * BL26/(100*AZ26) * 1000/(1000 - AN26)</f>
        <v>0</v>
      </c>
      <c r="AM26">
        <v>0.3589068339950146</v>
      </c>
      <c r="AN26">
        <v>9.805121636363632</v>
      </c>
      <c r="AO26">
        <v>-0.008717532315450633</v>
      </c>
      <c r="AP26">
        <v>79.84539915919684</v>
      </c>
      <c r="AQ26">
        <v>800</v>
      </c>
      <c r="AR26">
        <v>100</v>
      </c>
      <c r="AS26">
        <f>IF(AQ26*$H$13&gt;=AU26,1.0,(AU26/(AU26-AQ26*$H$13)))</f>
        <v>0</v>
      </c>
      <c r="AT26">
        <f>(AS26-1)*100</f>
        <v>0</v>
      </c>
      <c r="AU26">
        <f>MAX(0,($B$13+$C$13*BT26)/(1+$D$13*BT26)*BM26/(BO26+273)*$E$13)</f>
        <v>0</v>
      </c>
      <c r="AV26">
        <f>$B$11*BU26+$C$11*BV26+$F$11*CG26*(1-CJ26)</f>
        <v>0</v>
      </c>
      <c r="AW26">
        <f>AV26*AX26</f>
        <v>0</v>
      </c>
      <c r="AX26">
        <f>($B$11*$D$9+$C$11*$D$9+$F$11*((CT26+CL26)/MAX(CT26+CL26+CU26, 0.1)*$I$9+CU26/MAX(CT26+CL26+CU26, 0.1)*$J$9))/($B$11+$C$11+$F$11)</f>
        <v>0</v>
      </c>
      <c r="AY26">
        <f>($B$11*$K$9+$C$11*$K$9+$F$11*((CT26+CL26)/MAX(CT26+CL26+CU26, 0.1)*$P$9+CU26/MAX(CT26+CL26+CU26, 0.1)*$Q$9))/($B$11+$C$11+$F$11)</f>
        <v>0</v>
      </c>
      <c r="AZ26">
        <v>6</v>
      </c>
      <c r="BA26">
        <v>0.5</v>
      </c>
      <c r="BB26" t="s">
        <v>353</v>
      </c>
      <c r="BC26">
        <v>2</v>
      </c>
      <c r="BD26" t="b">
        <v>0</v>
      </c>
      <c r="BE26">
        <v>1751823398.5</v>
      </c>
      <c r="BF26">
        <v>415.4237419354838</v>
      </c>
      <c r="BG26">
        <v>404.9801612903225</v>
      </c>
      <c r="BH26">
        <v>9.872716451612902</v>
      </c>
      <c r="BI26">
        <v>0.3587180322580645</v>
      </c>
      <c r="BJ26">
        <v>414.8390967741936</v>
      </c>
      <c r="BK26">
        <v>10.0391035483871</v>
      </c>
      <c r="BL26">
        <v>800.0390322580646</v>
      </c>
      <c r="BM26">
        <v>101.3530967741935</v>
      </c>
      <c r="BN26">
        <v>0.06202690967741935</v>
      </c>
      <c r="BO26">
        <v>29.88046774193548</v>
      </c>
      <c r="BP26">
        <v>30.23685483870967</v>
      </c>
      <c r="BQ26">
        <v>999.9000000000003</v>
      </c>
      <c r="BR26">
        <v>0</v>
      </c>
      <c r="BS26">
        <v>0</v>
      </c>
      <c r="BT26">
        <v>10000.08387096774</v>
      </c>
      <c r="BU26">
        <v>0</v>
      </c>
      <c r="BV26">
        <v>0.00152894</v>
      </c>
      <c r="BW26">
        <v>10.44353225806452</v>
      </c>
      <c r="BX26">
        <v>419.5659677419354</v>
      </c>
      <c r="BY26">
        <v>405.1254838709677</v>
      </c>
      <c r="BZ26">
        <v>9.51399741935484</v>
      </c>
      <c r="CA26">
        <v>404.9801612903225</v>
      </c>
      <c r="CB26">
        <v>0.3587180322580645</v>
      </c>
      <c r="CC26">
        <v>1.000630032258065</v>
      </c>
      <c r="CD26">
        <v>0.03635717419354839</v>
      </c>
      <c r="CE26">
        <v>6.92544935483871</v>
      </c>
      <c r="CF26">
        <v>-33.50001290322581</v>
      </c>
      <c r="CG26">
        <v>999.9902580645161</v>
      </c>
      <c r="CH26">
        <v>0.9599903548387093</v>
      </c>
      <c r="CI26">
        <v>0.04000937096774196</v>
      </c>
      <c r="CJ26">
        <v>0</v>
      </c>
      <c r="CK26">
        <v>2.579677419354839</v>
      </c>
      <c r="CL26">
        <v>0</v>
      </c>
      <c r="CM26">
        <v>4399.779032258064</v>
      </c>
      <c r="CN26">
        <v>7946.807096774193</v>
      </c>
      <c r="CO26">
        <v>35.24593548387097</v>
      </c>
      <c r="CP26">
        <v>38</v>
      </c>
      <c r="CQ26">
        <v>36.375</v>
      </c>
      <c r="CR26">
        <v>37.375</v>
      </c>
      <c r="CS26">
        <v>36</v>
      </c>
      <c r="CT26">
        <v>959.9803225806453</v>
      </c>
      <c r="CU26">
        <v>40.00967741935484</v>
      </c>
      <c r="CV26">
        <v>0</v>
      </c>
      <c r="CW26">
        <v>1751823425.1</v>
      </c>
      <c r="CX26">
        <v>0</v>
      </c>
      <c r="CY26">
        <v>1751823307.5</v>
      </c>
      <c r="CZ26" t="s">
        <v>383</v>
      </c>
      <c r="DA26">
        <v>1751823302</v>
      </c>
      <c r="DB26">
        <v>1751823307.5</v>
      </c>
      <c r="DC26">
        <v>9</v>
      </c>
      <c r="DD26">
        <v>-0.061</v>
      </c>
      <c r="DE26">
        <v>0.002</v>
      </c>
      <c r="DF26">
        <v>0.589</v>
      </c>
      <c r="DG26">
        <v>-0.185</v>
      </c>
      <c r="DH26">
        <v>405</v>
      </c>
      <c r="DI26">
        <v>0</v>
      </c>
      <c r="DJ26">
        <v>0.26</v>
      </c>
      <c r="DK26">
        <v>0.09</v>
      </c>
      <c r="DL26">
        <v>10.43653170731707</v>
      </c>
      <c r="DM26">
        <v>0.2177142857143176</v>
      </c>
      <c r="DN26">
        <v>0.03403315054633445</v>
      </c>
      <c r="DO26">
        <v>0</v>
      </c>
      <c r="DP26">
        <v>9.537446097560977</v>
      </c>
      <c r="DQ26">
        <v>-0.5544209059233358</v>
      </c>
      <c r="DR26">
        <v>0.05467978281033692</v>
      </c>
      <c r="DS26">
        <v>0</v>
      </c>
      <c r="DT26">
        <v>0</v>
      </c>
      <c r="DU26">
        <v>2</v>
      </c>
      <c r="DV26" t="s">
        <v>365</v>
      </c>
      <c r="DW26">
        <v>3.44146</v>
      </c>
      <c r="DX26">
        <v>2.7426</v>
      </c>
      <c r="DY26">
        <v>0.0983096</v>
      </c>
      <c r="DZ26">
        <v>0.0964409</v>
      </c>
      <c r="EA26">
        <v>0.0619928</v>
      </c>
      <c r="EB26">
        <v>0.0031474</v>
      </c>
      <c r="EC26">
        <v>26973.1</v>
      </c>
      <c r="ED26">
        <v>30751.7</v>
      </c>
      <c r="EE26">
        <v>29071.1</v>
      </c>
      <c r="EF26">
        <v>34639</v>
      </c>
      <c r="EG26">
        <v>31552.6</v>
      </c>
      <c r="EH26">
        <v>42730.8</v>
      </c>
      <c r="EI26">
        <v>35785.7</v>
      </c>
      <c r="EJ26">
        <v>45688.8</v>
      </c>
      <c r="EK26">
        <v>0.301</v>
      </c>
      <c r="EL26">
        <v>2.1121</v>
      </c>
      <c r="EM26">
        <v>0.0951588</v>
      </c>
      <c r="EN26">
        <v>0</v>
      </c>
      <c r="EO26">
        <v>28.7117</v>
      </c>
      <c r="EP26">
        <v>999.9</v>
      </c>
      <c r="EQ26">
        <v>51.9</v>
      </c>
      <c r="ER26">
        <v>28.2</v>
      </c>
      <c r="ES26">
        <v>19.6606</v>
      </c>
      <c r="ET26">
        <v>62.19</v>
      </c>
      <c r="EU26">
        <v>23.4856</v>
      </c>
      <c r="EV26">
        <v>2</v>
      </c>
      <c r="EW26">
        <v>0.0784604</v>
      </c>
      <c r="EX26">
        <v>0</v>
      </c>
      <c r="EY26">
        <v>20.2918</v>
      </c>
      <c r="EZ26">
        <v>5.211</v>
      </c>
      <c r="FA26">
        <v>11.974</v>
      </c>
      <c r="FB26">
        <v>4.99035</v>
      </c>
      <c r="FC26">
        <v>3.272</v>
      </c>
      <c r="FD26">
        <v>3833.1</v>
      </c>
      <c r="FE26">
        <v>9999</v>
      </c>
      <c r="FF26">
        <v>9999</v>
      </c>
      <c r="FG26">
        <v>999.9</v>
      </c>
      <c r="FH26">
        <v>4.97261</v>
      </c>
      <c r="FI26">
        <v>1.86295</v>
      </c>
      <c r="FJ26">
        <v>1.86478</v>
      </c>
      <c r="FK26">
        <v>1.86325</v>
      </c>
      <c r="FL26">
        <v>1.86324</v>
      </c>
      <c r="FM26">
        <v>1.86371</v>
      </c>
      <c r="FN26">
        <v>1.8602</v>
      </c>
      <c r="FO26">
        <v>1.86301</v>
      </c>
      <c r="FP26">
        <v>0</v>
      </c>
      <c r="FQ26">
        <v>0</v>
      </c>
      <c r="FR26">
        <v>0</v>
      </c>
      <c r="FS26">
        <v>0</v>
      </c>
      <c r="FT26" t="s">
        <v>356</v>
      </c>
      <c r="FU26" t="s">
        <v>357</v>
      </c>
      <c r="FV26" t="s">
        <v>358</v>
      </c>
      <c r="FW26" t="s">
        <v>358</v>
      </c>
      <c r="FX26" t="s">
        <v>358</v>
      </c>
      <c r="FY26" t="s">
        <v>358</v>
      </c>
      <c r="FZ26">
        <v>0</v>
      </c>
      <c r="GA26">
        <v>100</v>
      </c>
      <c r="GB26">
        <v>100</v>
      </c>
      <c r="GC26">
        <v>0.585</v>
      </c>
      <c r="GD26">
        <v>-0.1677</v>
      </c>
      <c r="GE26">
        <v>0.8725369851801155</v>
      </c>
      <c r="GF26">
        <v>-0.001033730503750798</v>
      </c>
      <c r="GG26">
        <v>9.120241388950126E-07</v>
      </c>
      <c r="GH26">
        <v>-2.246115299815222E-10</v>
      </c>
      <c r="GI26">
        <v>-0.1757249285518827</v>
      </c>
      <c r="GJ26">
        <v>-0.01814858093373864</v>
      </c>
      <c r="GK26">
        <v>0.002091959988359369</v>
      </c>
      <c r="GL26">
        <v>-1.90871700788604E-05</v>
      </c>
      <c r="GM26">
        <v>2</v>
      </c>
      <c r="GN26">
        <v>2210</v>
      </c>
      <c r="GO26">
        <v>1</v>
      </c>
      <c r="GP26">
        <v>26</v>
      </c>
      <c r="GQ26">
        <v>1.7</v>
      </c>
      <c r="GR26">
        <v>1.6</v>
      </c>
      <c r="GS26">
        <v>1.2561</v>
      </c>
      <c r="GT26">
        <v>2.39624</v>
      </c>
      <c r="GU26">
        <v>2.34863</v>
      </c>
      <c r="GV26">
        <v>2.67578</v>
      </c>
      <c r="GW26">
        <v>2.39868</v>
      </c>
      <c r="GX26">
        <v>2.29858</v>
      </c>
      <c r="GY26">
        <v>34.0545</v>
      </c>
      <c r="GZ26">
        <v>16.0846</v>
      </c>
      <c r="HA26">
        <v>18</v>
      </c>
      <c r="HB26">
        <v>-0.430669</v>
      </c>
      <c r="HC26">
        <v>602.088</v>
      </c>
      <c r="HD26">
        <v>29.5386</v>
      </c>
      <c r="HE26">
        <v>28.72</v>
      </c>
      <c r="HF26">
        <v>30.0002</v>
      </c>
      <c r="HG26">
        <v>28.7299</v>
      </c>
      <c r="HH26">
        <v>28.434</v>
      </c>
      <c r="HI26">
        <v>25.1912</v>
      </c>
      <c r="HJ26">
        <v>100</v>
      </c>
      <c r="HK26">
        <v>0</v>
      </c>
      <c r="HL26">
        <v>-999.9</v>
      </c>
      <c r="HM26">
        <v>405</v>
      </c>
      <c r="HN26">
        <v>0</v>
      </c>
      <c r="HO26">
        <v>99.8125</v>
      </c>
      <c r="HP26">
        <v>99.9149</v>
      </c>
    </row>
    <row r="27" spans="1:224">
      <c r="A27">
        <v>11</v>
      </c>
      <c r="B27">
        <v>1751823509.5</v>
      </c>
      <c r="C27">
        <v>1122.900000095367</v>
      </c>
      <c r="D27" t="s">
        <v>386</v>
      </c>
      <c r="E27" t="s">
        <v>387</v>
      </c>
      <c r="F27">
        <v>15</v>
      </c>
      <c r="G27">
        <v>1751823501.5</v>
      </c>
      <c r="H27">
        <f>(I27)/1000</f>
        <v>0</v>
      </c>
      <c r="I27">
        <f>IF(BD27, AL27, AF27)</f>
        <v>0</v>
      </c>
      <c r="J27">
        <f>IF(BD27, AG27, AE27)</f>
        <v>0</v>
      </c>
      <c r="K27">
        <f>BF27 - IF(AS27&gt;1, J27*AZ27*100.0/(AU27), 0)</f>
        <v>0</v>
      </c>
      <c r="L27">
        <f>((R27-H27/2)*K27-J27)/(R27+H27/2)</f>
        <v>0</v>
      </c>
      <c r="M27">
        <f>L27*(BM27+BN27)/1000.0</f>
        <v>0</v>
      </c>
      <c r="N27">
        <f>(BF27 - IF(AS27&gt;1, J27*AZ27*100.0/(AU27), 0))*(BM27+BN27)/1000.0</f>
        <v>0</v>
      </c>
      <c r="O27">
        <f>2.0/((1/Q27-1/P27)+SIGN(Q27)*SQRT((1/Q27-1/P27)*(1/Q27-1/P27) + 4*BA27/((BA27+1)*(BA27+1))*(2*1/Q27*1/P27-1/P27*1/P27)))</f>
        <v>0</v>
      </c>
      <c r="P27">
        <f>IF(LEFT(BB27,1)&lt;&gt;"0",IF(LEFT(BB27,1)="1",3.0,BC27),$D$5+$E$5*(BT27*BM27/($K$5*1000))+$F$5*(BT27*BM27/($K$5*1000))*MAX(MIN(AZ27,$J$5),$I$5)*MAX(MIN(AZ27,$J$5),$I$5)+$G$5*MAX(MIN(AZ27,$J$5),$I$5)*(BT27*BM27/($K$5*1000))+$H$5*(BT27*BM27/($K$5*1000))*(BT27*BM27/($K$5*1000)))</f>
        <v>0</v>
      </c>
      <c r="Q27">
        <f>H27*(1000-(1000*0.61365*exp(17.502*U27/(240.97+U27))/(BM27+BN27)+BH27)/2)/(1000*0.61365*exp(17.502*U27/(240.97+U27))/(BM27+BN27)-BH27)</f>
        <v>0</v>
      </c>
      <c r="R27">
        <f>1/((BA27+1)/(O27/1.6)+1/(P27/1.37)) + BA27/((BA27+1)/(O27/1.6) + BA27/(P27/1.37))</f>
        <v>0</v>
      </c>
      <c r="S27">
        <f>(AV27*AY27)</f>
        <v>0</v>
      </c>
      <c r="T27">
        <f>(BO27+(S27+2*0.95*5.67E-8*(((BO27+$B$7)+273)^4-(BO27+273)^4)-44100*H27)/(1.84*29.3*P27+8*0.95*5.67E-8*(BO27+273)^3))</f>
        <v>0</v>
      </c>
      <c r="U27">
        <f>($C$7*BP27+$D$7*BQ27+$E$7*T27)</f>
        <v>0</v>
      </c>
      <c r="V27">
        <f>0.61365*exp(17.502*U27/(240.97+U27))</f>
        <v>0</v>
      </c>
      <c r="W27">
        <f>(X27/Y27*100)</f>
        <v>0</v>
      </c>
      <c r="X27">
        <f>BH27*(BM27+BN27)/1000</f>
        <v>0</v>
      </c>
      <c r="Y27">
        <f>0.61365*exp(17.502*BO27/(240.97+BO27))</f>
        <v>0</v>
      </c>
      <c r="Z27">
        <f>(V27-BH27*(BM27+BN27)/1000)</f>
        <v>0</v>
      </c>
      <c r="AA27">
        <f>(-H27*44100)</f>
        <v>0</v>
      </c>
      <c r="AB27">
        <f>2*29.3*P27*0.92*(BO27-U27)</f>
        <v>0</v>
      </c>
      <c r="AC27">
        <f>2*0.95*5.67E-8*(((BO27+$B$7)+273)^4-(U27+273)^4)</f>
        <v>0</v>
      </c>
      <c r="AD27">
        <f>S27+AC27+AA27+AB27</f>
        <v>0</v>
      </c>
      <c r="AE27">
        <f>BL27*AS27*(BG27-BF27*(1000-AS27*BI27)/(1000-AS27*BH27))/(100*AZ27)</f>
        <v>0</v>
      </c>
      <c r="AF27">
        <f>1000*BL27*AS27*(BH27-BI27)/(100*AZ27*(1000-AS27*BH27))</f>
        <v>0</v>
      </c>
      <c r="AG27">
        <f>(AH27 - AI27 - BM27*1E3/(8.314*(BO27+273.15)) * AK27/BL27 * AJ27) * BL27/(100*AZ27) * (1000 - BI27)/1000</f>
        <v>0</v>
      </c>
      <c r="AH27">
        <v>405.1234409632035</v>
      </c>
      <c r="AI27">
        <v>403.0317999999999</v>
      </c>
      <c r="AJ27">
        <v>-0.005450793650829913</v>
      </c>
      <c r="AK27">
        <v>66.94</v>
      </c>
      <c r="AL27">
        <f>(AN27 - AM27 + BM27*1E3/(8.314*(BO27+273.15)) * AP27/BL27 * AO27) * BL27/(100*AZ27) * 1000/(1000 - AN27)</f>
        <v>0</v>
      </c>
      <c r="AM27">
        <v>0.3665446086411921</v>
      </c>
      <c r="AN27">
        <v>1.588793151515151</v>
      </c>
      <c r="AO27">
        <v>-0.0001971499166787909</v>
      </c>
      <c r="AP27">
        <v>79.83630676272622</v>
      </c>
      <c r="AQ27">
        <v>0</v>
      </c>
      <c r="AR27">
        <v>0</v>
      </c>
      <c r="AS27">
        <f>IF(AQ27*$H$13&gt;=AU27,1.0,(AU27/(AU27-AQ27*$H$13)))</f>
        <v>0</v>
      </c>
      <c r="AT27">
        <f>(AS27-1)*100</f>
        <v>0</v>
      </c>
      <c r="AU27">
        <f>MAX(0,($B$13+$C$13*BT27)/(1+$D$13*BT27)*BM27/(BO27+273)*$E$13)</f>
        <v>0</v>
      </c>
      <c r="AV27">
        <f>$B$11*BU27+$C$11*BV27+$F$11*CG27*(1-CJ27)</f>
        <v>0</v>
      </c>
      <c r="AW27">
        <f>AV27*AX27</f>
        <v>0</v>
      </c>
      <c r="AX27">
        <f>($B$11*$D$9+$C$11*$D$9+$F$11*((CT27+CL27)/MAX(CT27+CL27+CU27, 0.1)*$I$9+CU27/MAX(CT27+CL27+CU27, 0.1)*$J$9))/($B$11+$C$11+$F$11)</f>
        <v>0</v>
      </c>
      <c r="AY27">
        <f>($B$11*$K$9+$C$11*$K$9+$F$11*((CT27+CL27)/MAX(CT27+CL27+CU27, 0.1)*$P$9+CU27/MAX(CT27+CL27+CU27, 0.1)*$Q$9))/($B$11+$C$11+$F$11)</f>
        <v>0</v>
      </c>
      <c r="AZ27">
        <v>6</v>
      </c>
      <c r="BA27">
        <v>0.5</v>
      </c>
      <c r="BB27" t="s">
        <v>353</v>
      </c>
      <c r="BC27">
        <v>2</v>
      </c>
      <c r="BD27" t="b">
        <v>0</v>
      </c>
      <c r="BE27">
        <v>1751823501.5</v>
      </c>
      <c r="BF27">
        <v>402.4169354838709</v>
      </c>
      <c r="BG27">
        <v>404.995064516129</v>
      </c>
      <c r="BH27">
        <v>1.60555870967742</v>
      </c>
      <c r="BI27">
        <v>0.3662817419354839</v>
      </c>
      <c r="BJ27">
        <v>401.8369354838709</v>
      </c>
      <c r="BK27">
        <v>1.807363548387097</v>
      </c>
      <c r="BL27">
        <v>800.0042258064516</v>
      </c>
      <c r="BM27">
        <v>101.355935483871</v>
      </c>
      <c r="BN27">
        <v>0.09992323870967741</v>
      </c>
      <c r="BO27">
        <v>30.13318387096774</v>
      </c>
      <c r="BP27">
        <v>30.10268064516129</v>
      </c>
      <c r="BQ27">
        <v>999.9000000000003</v>
      </c>
      <c r="BR27">
        <v>0</v>
      </c>
      <c r="BS27">
        <v>0</v>
      </c>
      <c r="BT27">
        <v>10001.25322580645</v>
      </c>
      <c r="BU27">
        <v>0</v>
      </c>
      <c r="BV27">
        <v>0.00152894</v>
      </c>
      <c r="BW27">
        <v>-2.568416129032258</v>
      </c>
      <c r="BX27">
        <v>403.0738387096775</v>
      </c>
      <c r="BY27">
        <v>405.1436129032257</v>
      </c>
      <c r="BZ27">
        <v>1.239276774193548</v>
      </c>
      <c r="CA27">
        <v>404.995064516129</v>
      </c>
      <c r="CB27">
        <v>0.3662817419354839</v>
      </c>
      <c r="CC27">
        <v>0.1627328709677419</v>
      </c>
      <c r="CD27">
        <v>0.03712483225806452</v>
      </c>
      <c r="CE27">
        <v>-16.9867064516129</v>
      </c>
      <c r="CF27">
        <v>-33.28653870967742</v>
      </c>
      <c r="CG27">
        <v>999.9950967741935</v>
      </c>
      <c r="CH27">
        <v>0.9599893225806455</v>
      </c>
      <c r="CI27">
        <v>0.0400110451612903</v>
      </c>
      <c r="CJ27">
        <v>0</v>
      </c>
      <c r="CK27">
        <v>0.1577419354838711</v>
      </c>
      <c r="CL27">
        <v>0</v>
      </c>
      <c r="CM27">
        <v>5173.256774193548</v>
      </c>
      <c r="CN27">
        <v>7946.838709677419</v>
      </c>
      <c r="CO27">
        <v>35.31199999999999</v>
      </c>
      <c r="CP27">
        <v>38.06199999999998</v>
      </c>
      <c r="CQ27">
        <v>36.39899999999999</v>
      </c>
      <c r="CR27">
        <v>37.5</v>
      </c>
      <c r="CS27">
        <v>36.05799999999999</v>
      </c>
      <c r="CT27">
        <v>959.9851612903226</v>
      </c>
      <c r="CU27">
        <v>40.01</v>
      </c>
      <c r="CV27">
        <v>0</v>
      </c>
      <c r="CW27">
        <v>1751823528.3</v>
      </c>
      <c r="CX27">
        <v>0</v>
      </c>
      <c r="CY27">
        <v>1751823526.5</v>
      </c>
      <c r="CZ27" t="s">
        <v>388</v>
      </c>
      <c r="DA27">
        <v>1751823526.5</v>
      </c>
      <c r="DB27">
        <v>1751823307.5</v>
      </c>
      <c r="DC27">
        <v>10</v>
      </c>
      <c r="DD27">
        <v>-0.008999999999999999</v>
      </c>
      <c r="DE27">
        <v>0.002</v>
      </c>
      <c r="DF27">
        <v>0.58</v>
      </c>
      <c r="DG27">
        <v>-0.185</v>
      </c>
      <c r="DH27">
        <v>405</v>
      </c>
      <c r="DI27">
        <v>0</v>
      </c>
      <c r="DJ27">
        <v>0.37</v>
      </c>
      <c r="DK27">
        <v>0.09</v>
      </c>
      <c r="DL27">
        <v>-2.571981707317073</v>
      </c>
      <c r="DM27">
        <v>0.07232592334494667</v>
      </c>
      <c r="DN27">
        <v>0.01893187928290873</v>
      </c>
      <c r="DO27">
        <v>1</v>
      </c>
      <c r="DP27">
        <v>1.249917073170732</v>
      </c>
      <c r="DQ27">
        <v>-0.1786505226480848</v>
      </c>
      <c r="DR27">
        <v>0.01774465006890294</v>
      </c>
      <c r="DS27">
        <v>0</v>
      </c>
      <c r="DT27">
        <v>1</v>
      </c>
      <c r="DU27">
        <v>2</v>
      </c>
      <c r="DV27" t="s">
        <v>355</v>
      </c>
      <c r="DW27">
        <v>3.44143</v>
      </c>
      <c r="DX27">
        <v>2.7802</v>
      </c>
      <c r="DY27">
        <v>0.0959103</v>
      </c>
      <c r="DZ27">
        <v>0.0964178</v>
      </c>
      <c r="EA27">
        <v>0.0142598</v>
      </c>
      <c r="EB27">
        <v>0.00321402</v>
      </c>
      <c r="EC27">
        <v>27039.9</v>
      </c>
      <c r="ED27">
        <v>30748.8</v>
      </c>
      <c r="EE27">
        <v>29066.5</v>
      </c>
      <c r="EF27">
        <v>34635.1</v>
      </c>
      <c r="EG27">
        <v>33161.1</v>
      </c>
      <c r="EH27">
        <v>42723.4</v>
      </c>
      <c r="EI27">
        <v>35782.7</v>
      </c>
      <c r="EJ27">
        <v>45684</v>
      </c>
      <c r="EK27">
        <v>2.48622</v>
      </c>
      <c r="EL27">
        <v>2.10922</v>
      </c>
      <c r="EM27">
        <v>0.0692382</v>
      </c>
      <c r="EN27">
        <v>0</v>
      </c>
      <c r="EO27">
        <v>29.0204</v>
      </c>
      <c r="EP27">
        <v>999.9</v>
      </c>
      <c r="EQ27">
        <v>51.3</v>
      </c>
      <c r="ER27">
        <v>28.4</v>
      </c>
      <c r="ES27">
        <v>19.6587</v>
      </c>
      <c r="ET27">
        <v>62.03</v>
      </c>
      <c r="EU27">
        <v>25.621</v>
      </c>
      <c r="EV27">
        <v>2</v>
      </c>
      <c r="EW27">
        <v>0.0833613</v>
      </c>
      <c r="EX27">
        <v>0</v>
      </c>
      <c r="EY27">
        <v>20.2916</v>
      </c>
      <c r="EZ27">
        <v>5.20995</v>
      </c>
      <c r="FA27">
        <v>11.974</v>
      </c>
      <c r="FB27">
        <v>4.98985</v>
      </c>
      <c r="FC27">
        <v>3.272</v>
      </c>
      <c r="FD27">
        <v>3836.1</v>
      </c>
      <c r="FE27">
        <v>9999</v>
      </c>
      <c r="FF27">
        <v>9999</v>
      </c>
      <c r="FG27">
        <v>999.9</v>
      </c>
      <c r="FH27">
        <v>4.97261</v>
      </c>
      <c r="FI27">
        <v>1.86295</v>
      </c>
      <c r="FJ27">
        <v>1.86478</v>
      </c>
      <c r="FK27">
        <v>1.86325</v>
      </c>
      <c r="FL27">
        <v>1.86325</v>
      </c>
      <c r="FM27">
        <v>1.86374</v>
      </c>
      <c r="FN27">
        <v>1.86026</v>
      </c>
      <c r="FO27">
        <v>1.86309</v>
      </c>
      <c r="FP27">
        <v>0</v>
      </c>
      <c r="FQ27">
        <v>0</v>
      </c>
      <c r="FR27">
        <v>0</v>
      </c>
      <c r="FS27">
        <v>0</v>
      </c>
      <c r="FT27" t="s">
        <v>356</v>
      </c>
      <c r="FU27" t="s">
        <v>357</v>
      </c>
      <c r="FV27" t="s">
        <v>358</v>
      </c>
      <c r="FW27" t="s">
        <v>358</v>
      </c>
      <c r="FX27" t="s">
        <v>358</v>
      </c>
      <c r="FY27" t="s">
        <v>358</v>
      </c>
      <c r="FZ27">
        <v>0</v>
      </c>
      <c r="GA27">
        <v>100</v>
      </c>
      <c r="GB27">
        <v>100</v>
      </c>
      <c r="GC27">
        <v>0.58</v>
      </c>
      <c r="GD27">
        <v>-0.2016</v>
      </c>
      <c r="GE27">
        <v>0.8725369851801155</v>
      </c>
      <c r="GF27">
        <v>-0.001033730503750798</v>
      </c>
      <c r="GG27">
        <v>9.120241388950126E-07</v>
      </c>
      <c r="GH27">
        <v>-2.246115299815222E-10</v>
      </c>
      <c r="GI27">
        <v>-0.1757249285518827</v>
      </c>
      <c r="GJ27">
        <v>-0.01814858093373864</v>
      </c>
      <c r="GK27">
        <v>0.002091959988359369</v>
      </c>
      <c r="GL27">
        <v>-1.90871700788604E-05</v>
      </c>
      <c r="GM27">
        <v>2</v>
      </c>
      <c r="GN27">
        <v>2210</v>
      </c>
      <c r="GO27">
        <v>1</v>
      </c>
      <c r="GP27">
        <v>26</v>
      </c>
      <c r="GQ27">
        <v>3.5</v>
      </c>
      <c r="GR27">
        <v>3.4</v>
      </c>
      <c r="GS27">
        <v>1.25732</v>
      </c>
      <c r="GT27">
        <v>2.40356</v>
      </c>
      <c r="GU27">
        <v>2.34741</v>
      </c>
      <c r="GV27">
        <v>2.677</v>
      </c>
      <c r="GW27">
        <v>2.39868</v>
      </c>
      <c r="GX27">
        <v>2.24976</v>
      </c>
      <c r="GY27">
        <v>34.2133</v>
      </c>
      <c r="GZ27">
        <v>16.0671</v>
      </c>
      <c r="HA27">
        <v>18</v>
      </c>
      <c r="HB27">
        <v>855.245</v>
      </c>
      <c r="HC27">
        <v>600.678</v>
      </c>
      <c r="HD27">
        <v>29.6638</v>
      </c>
      <c r="HE27">
        <v>28.7811</v>
      </c>
      <c r="HF27">
        <v>30.0004</v>
      </c>
      <c r="HG27">
        <v>28.5513</v>
      </c>
      <c r="HH27">
        <v>28.5118</v>
      </c>
      <c r="HI27">
        <v>25.2039</v>
      </c>
      <c r="HJ27">
        <v>100</v>
      </c>
      <c r="HK27">
        <v>0</v>
      </c>
      <c r="HL27">
        <v>-999.9</v>
      </c>
      <c r="HM27">
        <v>405</v>
      </c>
      <c r="HN27">
        <v>0</v>
      </c>
      <c r="HO27">
        <v>99.8008</v>
      </c>
      <c r="HP27">
        <v>99.904</v>
      </c>
    </row>
    <row r="28" spans="1:224">
      <c r="A28">
        <v>12</v>
      </c>
      <c r="B28">
        <v>1751823618</v>
      </c>
      <c r="C28">
        <v>1231.400000095367</v>
      </c>
      <c r="D28" t="s">
        <v>389</v>
      </c>
      <c r="E28" t="s">
        <v>390</v>
      </c>
      <c r="F28">
        <v>15</v>
      </c>
      <c r="G28">
        <v>1751823610.25</v>
      </c>
      <c r="H28">
        <f>(I28)/1000</f>
        <v>0</v>
      </c>
      <c r="I28">
        <f>IF(BD28, AL28, AF28)</f>
        <v>0</v>
      </c>
      <c r="J28">
        <f>IF(BD28, AG28, AE28)</f>
        <v>0</v>
      </c>
      <c r="K28">
        <f>BF28 - IF(AS28&gt;1, J28*AZ28*100.0/(AU28), 0)</f>
        <v>0</v>
      </c>
      <c r="L28">
        <f>((R28-H28/2)*K28-J28)/(R28+H28/2)</f>
        <v>0</v>
      </c>
      <c r="M28">
        <f>L28*(BM28+BN28)/1000.0</f>
        <v>0</v>
      </c>
      <c r="N28">
        <f>(BF28 - IF(AS28&gt;1, J28*AZ28*100.0/(AU28), 0))*(BM28+BN28)/1000.0</f>
        <v>0</v>
      </c>
      <c r="O28">
        <f>2.0/((1/Q28-1/P28)+SIGN(Q28)*SQRT((1/Q28-1/P28)*(1/Q28-1/P28) + 4*BA28/((BA28+1)*(BA28+1))*(2*1/Q28*1/P28-1/P28*1/P28)))</f>
        <v>0</v>
      </c>
      <c r="P28">
        <f>IF(LEFT(BB28,1)&lt;&gt;"0",IF(LEFT(BB28,1)="1",3.0,BC28),$D$5+$E$5*(BT28*BM28/($K$5*1000))+$F$5*(BT28*BM28/($K$5*1000))*MAX(MIN(AZ28,$J$5),$I$5)*MAX(MIN(AZ28,$J$5),$I$5)+$G$5*MAX(MIN(AZ28,$J$5),$I$5)*(BT28*BM28/($K$5*1000))+$H$5*(BT28*BM28/($K$5*1000))*(BT28*BM28/($K$5*1000)))</f>
        <v>0</v>
      </c>
      <c r="Q28">
        <f>H28*(1000-(1000*0.61365*exp(17.502*U28/(240.97+U28))/(BM28+BN28)+BH28)/2)/(1000*0.61365*exp(17.502*U28/(240.97+U28))/(BM28+BN28)-BH28)</f>
        <v>0</v>
      </c>
      <c r="R28">
        <f>1/((BA28+1)/(O28/1.6)+1/(P28/1.37)) + BA28/((BA28+1)/(O28/1.6) + BA28/(P28/1.37))</f>
        <v>0</v>
      </c>
      <c r="S28">
        <f>(AV28*AY28)</f>
        <v>0</v>
      </c>
      <c r="T28">
        <f>(BO28+(S28+2*0.95*5.67E-8*(((BO28+$B$7)+273)^4-(BO28+273)^4)-44100*H28)/(1.84*29.3*P28+8*0.95*5.67E-8*(BO28+273)^3))</f>
        <v>0</v>
      </c>
      <c r="U28">
        <f>($C$7*BP28+$D$7*BQ28+$E$7*T28)</f>
        <v>0</v>
      </c>
      <c r="V28">
        <f>0.61365*exp(17.502*U28/(240.97+U28))</f>
        <v>0</v>
      </c>
      <c r="W28">
        <f>(X28/Y28*100)</f>
        <v>0</v>
      </c>
      <c r="X28">
        <f>BH28*(BM28+BN28)/1000</f>
        <v>0</v>
      </c>
      <c r="Y28">
        <f>0.61365*exp(17.502*BO28/(240.97+BO28))</f>
        <v>0</v>
      </c>
      <c r="Z28">
        <f>(V28-BH28*(BM28+BN28)/1000)</f>
        <v>0</v>
      </c>
      <c r="AA28">
        <f>(-H28*44100)</f>
        <v>0</v>
      </c>
      <c r="AB28">
        <f>2*29.3*P28*0.92*(BO28-U28)</f>
        <v>0</v>
      </c>
      <c r="AC28">
        <f>2*0.95*5.67E-8*(((BO28+$B$7)+273)^4-(U28+273)^4)</f>
        <v>0</v>
      </c>
      <c r="AD28">
        <f>S28+AC28+AA28+AB28</f>
        <v>0</v>
      </c>
      <c r="AE28">
        <f>BL28*AS28*(BG28-BF28*(1000-AS28*BI28)/(1000-AS28*BH28))/(100*AZ28)</f>
        <v>0</v>
      </c>
      <c r="AF28">
        <f>1000*BL28*AS28*(BH28-BI28)/(100*AZ28*(1000-AS28*BH28))</f>
        <v>0</v>
      </c>
      <c r="AG28">
        <f>(AH28 - AI28 - BM28*1E3/(8.314*(BO28+273.15)) * AK28/BL28 * AJ28) * BL28/(100*AZ28) * (1000 - BI28)/1000</f>
        <v>0</v>
      </c>
      <c r="AH28">
        <v>405.187842379991</v>
      </c>
      <c r="AI28">
        <v>401.6219939393938</v>
      </c>
      <c r="AJ28">
        <v>-0.0002041698696061513</v>
      </c>
      <c r="AK28">
        <v>66.94013057516857</v>
      </c>
      <c r="AL28">
        <f>(AN28 - AM28 + BM28*1E3/(8.314*(BO28+273.15)) * AP28/BL28 * AO28) * BL28/(100*AZ28) * 1000/(1000 - AN28)</f>
        <v>0</v>
      </c>
      <c r="AM28">
        <v>0.3742593060362877</v>
      </c>
      <c r="AN28">
        <v>2.224161878787877</v>
      </c>
      <c r="AO28">
        <v>-0.001277410554534427</v>
      </c>
      <c r="AP28">
        <v>79.86411069978084</v>
      </c>
      <c r="AQ28">
        <v>248</v>
      </c>
      <c r="AR28">
        <v>31</v>
      </c>
      <c r="AS28">
        <f>IF(AQ28*$H$13&gt;=AU28,1.0,(AU28/(AU28-AQ28*$H$13)))</f>
        <v>0</v>
      </c>
      <c r="AT28">
        <f>(AS28-1)*100</f>
        <v>0</v>
      </c>
      <c r="AU28">
        <f>MAX(0,($B$13+$C$13*BT28)/(1+$D$13*BT28)*BM28/(BO28+273)*$E$13)</f>
        <v>0</v>
      </c>
      <c r="AV28">
        <f>$B$11*BU28+$C$11*BV28+$F$11*CG28*(1-CJ28)</f>
        <v>0</v>
      </c>
      <c r="AW28">
        <f>AV28*AX28</f>
        <v>0</v>
      </c>
      <c r="AX28">
        <f>($B$11*$D$9+$C$11*$D$9+$F$11*((CT28+CL28)/MAX(CT28+CL28+CU28, 0.1)*$I$9+CU28/MAX(CT28+CL28+CU28, 0.1)*$J$9))/($B$11+$C$11+$F$11)</f>
        <v>0</v>
      </c>
      <c r="AY28">
        <f>($B$11*$K$9+$C$11*$K$9+$F$11*((CT28+CL28)/MAX(CT28+CL28+CU28, 0.1)*$P$9+CU28/MAX(CT28+CL28+CU28, 0.1)*$Q$9))/($B$11+$C$11+$F$11)</f>
        <v>0</v>
      </c>
      <c r="AZ28">
        <v>6</v>
      </c>
      <c r="BA28">
        <v>0.5</v>
      </c>
      <c r="BB28" t="s">
        <v>353</v>
      </c>
      <c r="BC28">
        <v>2</v>
      </c>
      <c r="BD28" t="b">
        <v>0</v>
      </c>
      <c r="BE28">
        <v>1751823610.25</v>
      </c>
      <c r="BF28">
        <v>400.7450333333334</v>
      </c>
      <c r="BG28">
        <v>405.0003333333333</v>
      </c>
      <c r="BH28">
        <v>2.259175999999999</v>
      </c>
      <c r="BI28">
        <v>0.3740579666666667</v>
      </c>
      <c r="BJ28">
        <v>400.1450333333333</v>
      </c>
      <c r="BK28">
        <v>2.467227666666667</v>
      </c>
      <c r="BL28">
        <v>800.0034999999999</v>
      </c>
      <c r="BM28">
        <v>101.3556333333333</v>
      </c>
      <c r="BN28">
        <v>0.09989678</v>
      </c>
      <c r="BO28">
        <v>30.30990333333333</v>
      </c>
      <c r="BP28">
        <v>29.70653</v>
      </c>
      <c r="BQ28">
        <v>999.9000000000002</v>
      </c>
      <c r="BR28">
        <v>0</v>
      </c>
      <c r="BS28">
        <v>0</v>
      </c>
      <c r="BT28">
        <v>10007.285</v>
      </c>
      <c r="BU28">
        <v>0</v>
      </c>
      <c r="BV28">
        <v>0.00152894</v>
      </c>
      <c r="BW28">
        <v>-4.273327333333333</v>
      </c>
      <c r="BX28">
        <v>401.6343000000001</v>
      </c>
      <c r="BY28">
        <v>405.1519333333334</v>
      </c>
      <c r="BZ28">
        <v>1.885117333333333</v>
      </c>
      <c r="CA28">
        <v>405.0003333333333</v>
      </c>
      <c r="CB28">
        <v>0.3740579666666667</v>
      </c>
      <c r="CC28">
        <v>0.2289802333333333</v>
      </c>
      <c r="CD28">
        <v>0.03791289666666667</v>
      </c>
      <c r="CE28">
        <v>-12.84940666666667</v>
      </c>
      <c r="CF28">
        <v>-33.07149666666667</v>
      </c>
      <c r="CG28">
        <v>999.9712666666668</v>
      </c>
      <c r="CH28">
        <v>0.9600077333333333</v>
      </c>
      <c r="CI28">
        <v>0.03999189666666667</v>
      </c>
      <c r="CJ28">
        <v>0</v>
      </c>
      <c r="CK28">
        <v>1.971833333333333</v>
      </c>
      <c r="CL28">
        <v>0</v>
      </c>
      <c r="CM28">
        <v>8108.023000000001</v>
      </c>
      <c r="CN28">
        <v>7946.709666666668</v>
      </c>
      <c r="CO28">
        <v>35.38946666666666</v>
      </c>
      <c r="CP28">
        <v>38.14773333333333</v>
      </c>
      <c r="CQ28">
        <v>36.49789999999999</v>
      </c>
      <c r="CR28">
        <v>37.6019</v>
      </c>
      <c r="CS28">
        <v>36.125</v>
      </c>
      <c r="CT28">
        <v>959.98</v>
      </c>
      <c r="CU28">
        <v>39.99</v>
      </c>
      <c r="CV28">
        <v>0</v>
      </c>
      <c r="CW28">
        <v>1751823636.3</v>
      </c>
      <c r="CX28">
        <v>0</v>
      </c>
      <c r="CY28">
        <v>1751823635</v>
      </c>
      <c r="CZ28" t="s">
        <v>391</v>
      </c>
      <c r="DA28">
        <v>1751823635</v>
      </c>
      <c r="DB28">
        <v>1751823307.5</v>
      </c>
      <c r="DC28">
        <v>11</v>
      </c>
      <c r="DD28">
        <v>0.019</v>
      </c>
      <c r="DE28">
        <v>0.002</v>
      </c>
      <c r="DF28">
        <v>0.6</v>
      </c>
      <c r="DG28">
        <v>-0.185</v>
      </c>
      <c r="DH28">
        <v>405</v>
      </c>
      <c r="DI28">
        <v>0</v>
      </c>
      <c r="DJ28">
        <v>0.3</v>
      </c>
      <c r="DK28">
        <v>0.09</v>
      </c>
      <c r="DL28">
        <v>-4.27469925</v>
      </c>
      <c r="DM28">
        <v>-0.01841099437148785</v>
      </c>
      <c r="DN28">
        <v>0.02771683643451216</v>
      </c>
      <c r="DO28">
        <v>1</v>
      </c>
      <c r="DP28">
        <v>1.904049</v>
      </c>
      <c r="DQ28">
        <v>-0.4069942964352705</v>
      </c>
      <c r="DR28">
        <v>0.03976350341707831</v>
      </c>
      <c r="DS28">
        <v>0</v>
      </c>
      <c r="DT28">
        <v>1</v>
      </c>
      <c r="DU28">
        <v>2</v>
      </c>
      <c r="DV28" t="s">
        <v>355</v>
      </c>
      <c r="DW28">
        <v>3.44162</v>
      </c>
      <c r="DX28">
        <v>2.78066</v>
      </c>
      <c r="DY28">
        <v>0.09558220000000001</v>
      </c>
      <c r="DZ28">
        <v>0.0963996</v>
      </c>
      <c r="EA28">
        <v>0.0188458</v>
      </c>
      <c r="EB28">
        <v>0.00327524</v>
      </c>
      <c r="EC28">
        <v>27045.1</v>
      </c>
      <c r="ED28">
        <v>30745.4</v>
      </c>
      <c r="EE28">
        <v>29061.9</v>
      </c>
      <c r="EF28">
        <v>34631</v>
      </c>
      <c r="EG28">
        <v>33001.3</v>
      </c>
      <c r="EH28">
        <v>42715.8</v>
      </c>
      <c r="EI28">
        <v>35777</v>
      </c>
      <c r="EJ28">
        <v>45678.7</v>
      </c>
      <c r="EK28">
        <v>2.06815</v>
      </c>
      <c r="EL28">
        <v>2.10532</v>
      </c>
      <c r="EM28">
        <v>0.0412688</v>
      </c>
      <c r="EN28">
        <v>0</v>
      </c>
      <c r="EO28">
        <v>29.1017</v>
      </c>
      <c r="EP28">
        <v>999.9</v>
      </c>
      <c r="EQ28">
        <v>50.6</v>
      </c>
      <c r="ER28">
        <v>28.6</v>
      </c>
      <c r="ES28">
        <v>19.616</v>
      </c>
      <c r="ET28">
        <v>61.93</v>
      </c>
      <c r="EU28">
        <v>25.7011</v>
      </c>
      <c r="EV28">
        <v>2</v>
      </c>
      <c r="EW28">
        <v>0.09122710000000001</v>
      </c>
      <c r="EX28">
        <v>0</v>
      </c>
      <c r="EY28">
        <v>20.2918</v>
      </c>
      <c r="EZ28">
        <v>5.20995</v>
      </c>
      <c r="FA28">
        <v>11.974</v>
      </c>
      <c r="FB28">
        <v>4.98965</v>
      </c>
      <c r="FC28">
        <v>3.272</v>
      </c>
      <c r="FD28">
        <v>3839.5</v>
      </c>
      <c r="FE28">
        <v>9999</v>
      </c>
      <c r="FF28">
        <v>9999</v>
      </c>
      <c r="FG28">
        <v>999.9</v>
      </c>
      <c r="FH28">
        <v>4.97263</v>
      </c>
      <c r="FI28">
        <v>1.86299</v>
      </c>
      <c r="FJ28">
        <v>1.86481</v>
      </c>
      <c r="FK28">
        <v>1.86328</v>
      </c>
      <c r="FL28">
        <v>1.86325</v>
      </c>
      <c r="FM28">
        <v>1.86385</v>
      </c>
      <c r="FN28">
        <v>1.86031</v>
      </c>
      <c r="FO28">
        <v>1.8631</v>
      </c>
      <c r="FP28">
        <v>0</v>
      </c>
      <c r="FQ28">
        <v>0</v>
      </c>
      <c r="FR28">
        <v>0</v>
      </c>
      <c r="FS28">
        <v>0</v>
      </c>
      <c r="FT28" t="s">
        <v>356</v>
      </c>
      <c r="FU28" t="s">
        <v>357</v>
      </c>
      <c r="FV28" t="s">
        <v>358</v>
      </c>
      <c r="FW28" t="s">
        <v>358</v>
      </c>
      <c r="FX28" t="s">
        <v>358</v>
      </c>
      <c r="FY28" t="s">
        <v>358</v>
      </c>
      <c r="FZ28">
        <v>0</v>
      </c>
      <c r="GA28">
        <v>100</v>
      </c>
      <c r="GB28">
        <v>100</v>
      </c>
      <c r="GC28">
        <v>0.6</v>
      </c>
      <c r="GD28">
        <v>-0.2077</v>
      </c>
      <c r="GE28">
        <v>0.8640103049483816</v>
      </c>
      <c r="GF28">
        <v>-0.001033730503750798</v>
      </c>
      <c r="GG28">
        <v>9.120241388950126E-07</v>
      </c>
      <c r="GH28">
        <v>-2.246115299815222E-10</v>
      </c>
      <c r="GI28">
        <v>-0.1757249285518827</v>
      </c>
      <c r="GJ28">
        <v>-0.01814858093373864</v>
      </c>
      <c r="GK28">
        <v>0.002091959988359369</v>
      </c>
      <c r="GL28">
        <v>-1.90871700788604E-05</v>
      </c>
      <c r="GM28">
        <v>2</v>
      </c>
      <c r="GN28">
        <v>2210</v>
      </c>
      <c r="GO28">
        <v>1</v>
      </c>
      <c r="GP28">
        <v>26</v>
      </c>
      <c r="GQ28">
        <v>1.5</v>
      </c>
      <c r="GR28">
        <v>5.2</v>
      </c>
      <c r="GS28">
        <v>1.25732</v>
      </c>
      <c r="GT28">
        <v>2.39624</v>
      </c>
      <c r="GU28">
        <v>2.34741</v>
      </c>
      <c r="GV28">
        <v>2.677</v>
      </c>
      <c r="GW28">
        <v>2.39868</v>
      </c>
      <c r="GX28">
        <v>2.32178</v>
      </c>
      <c r="GY28">
        <v>34.418</v>
      </c>
      <c r="GZ28">
        <v>16.0758</v>
      </c>
      <c r="HA28">
        <v>18</v>
      </c>
      <c r="HB28">
        <v>535.02</v>
      </c>
      <c r="HC28">
        <v>598.747</v>
      </c>
      <c r="HD28">
        <v>29.7932</v>
      </c>
      <c r="HE28">
        <v>28.886</v>
      </c>
      <c r="HF28">
        <v>30.0005</v>
      </c>
      <c r="HG28">
        <v>28.6675</v>
      </c>
      <c r="HH28">
        <v>28.6155</v>
      </c>
      <c r="HI28">
        <v>25.2164</v>
      </c>
      <c r="HJ28">
        <v>100</v>
      </c>
      <c r="HK28">
        <v>0</v>
      </c>
      <c r="HL28">
        <v>-999.9</v>
      </c>
      <c r="HM28">
        <v>405</v>
      </c>
      <c r="HN28">
        <v>0</v>
      </c>
      <c r="HO28">
        <v>99.785</v>
      </c>
      <c r="HP28">
        <v>99.89230000000001</v>
      </c>
    </row>
    <row r="29" spans="1:224">
      <c r="A29">
        <v>13</v>
      </c>
      <c r="B29">
        <v>1751823713</v>
      </c>
      <c r="C29">
        <v>1326.400000095367</v>
      </c>
      <c r="D29" t="s">
        <v>392</v>
      </c>
      <c r="E29" t="s">
        <v>393</v>
      </c>
      <c r="F29">
        <v>15</v>
      </c>
      <c r="G29">
        <v>1751823705</v>
      </c>
      <c r="H29">
        <f>(I29)/1000</f>
        <v>0</v>
      </c>
      <c r="I29">
        <f>IF(BD29, AL29, AF29)</f>
        <v>0</v>
      </c>
      <c r="J29">
        <f>IF(BD29, AG29, AE29)</f>
        <v>0</v>
      </c>
      <c r="K29">
        <f>BF29 - IF(AS29&gt;1, J29*AZ29*100.0/(AU29), 0)</f>
        <v>0</v>
      </c>
      <c r="L29">
        <f>((R29-H29/2)*K29-J29)/(R29+H29/2)</f>
        <v>0</v>
      </c>
      <c r="M29">
        <f>L29*(BM29+BN29)/1000.0</f>
        <v>0</v>
      </c>
      <c r="N29">
        <f>(BF29 - IF(AS29&gt;1, J29*AZ29*100.0/(AU29), 0))*(BM29+BN29)/1000.0</f>
        <v>0</v>
      </c>
      <c r="O29">
        <f>2.0/((1/Q29-1/P29)+SIGN(Q29)*SQRT((1/Q29-1/P29)*(1/Q29-1/P29) + 4*BA29/((BA29+1)*(BA29+1))*(2*1/Q29*1/P29-1/P29*1/P29)))</f>
        <v>0</v>
      </c>
      <c r="P29">
        <f>IF(LEFT(BB29,1)&lt;&gt;"0",IF(LEFT(BB29,1)="1",3.0,BC29),$D$5+$E$5*(BT29*BM29/($K$5*1000))+$F$5*(BT29*BM29/($K$5*1000))*MAX(MIN(AZ29,$J$5),$I$5)*MAX(MIN(AZ29,$J$5),$I$5)+$G$5*MAX(MIN(AZ29,$J$5),$I$5)*(BT29*BM29/($K$5*1000))+$H$5*(BT29*BM29/($K$5*1000))*(BT29*BM29/($K$5*1000)))</f>
        <v>0</v>
      </c>
      <c r="Q29">
        <f>H29*(1000-(1000*0.61365*exp(17.502*U29/(240.97+U29))/(BM29+BN29)+BH29)/2)/(1000*0.61365*exp(17.502*U29/(240.97+U29))/(BM29+BN29)-BH29)</f>
        <v>0</v>
      </c>
      <c r="R29">
        <f>1/((BA29+1)/(O29/1.6)+1/(P29/1.37)) + BA29/((BA29+1)/(O29/1.6) + BA29/(P29/1.37))</f>
        <v>0</v>
      </c>
      <c r="S29">
        <f>(AV29*AY29)</f>
        <v>0</v>
      </c>
      <c r="T29">
        <f>(BO29+(S29+2*0.95*5.67E-8*(((BO29+$B$7)+273)^4-(BO29+273)^4)-44100*H29)/(1.84*29.3*P29+8*0.95*5.67E-8*(BO29+273)^3))</f>
        <v>0</v>
      </c>
      <c r="U29">
        <f>($C$7*BP29+$D$7*BQ29+$E$7*T29)</f>
        <v>0</v>
      </c>
      <c r="V29">
        <f>0.61365*exp(17.502*U29/(240.97+U29))</f>
        <v>0</v>
      </c>
      <c r="W29">
        <f>(X29/Y29*100)</f>
        <v>0</v>
      </c>
      <c r="X29">
        <f>BH29*(BM29+BN29)/1000</f>
        <v>0</v>
      </c>
      <c r="Y29">
        <f>0.61365*exp(17.502*BO29/(240.97+BO29))</f>
        <v>0</v>
      </c>
      <c r="Z29">
        <f>(V29-BH29*(BM29+BN29)/1000)</f>
        <v>0</v>
      </c>
      <c r="AA29">
        <f>(-H29*44100)</f>
        <v>0</v>
      </c>
      <c r="AB29">
        <f>2*29.3*P29*0.92*(BO29-U29)</f>
        <v>0</v>
      </c>
      <c r="AC29">
        <f>2*0.95*5.67E-8*(((BO29+$B$7)+273)^4-(U29+273)^4)</f>
        <v>0</v>
      </c>
      <c r="AD29">
        <f>S29+AC29+AA29+AB29</f>
        <v>0</v>
      </c>
      <c r="AE29">
        <f>BL29*AS29*(BG29-BF29*(1000-AS29*BI29)/(1000-AS29*BH29))/(100*AZ29)</f>
        <v>0</v>
      </c>
      <c r="AF29">
        <f>1000*BL29*AS29*(BH29-BI29)/(100*AZ29*(1000-AS29*BH29))</f>
        <v>0</v>
      </c>
      <c r="AG29">
        <f>(AH29 - AI29 - BM29*1E3/(8.314*(BO29+273.15)) * AK29/BL29 * AJ29) * BL29/(100*AZ29) * (1000 - BI29)/1000</f>
        <v>0</v>
      </c>
      <c r="AH29">
        <v>405.164805973116</v>
      </c>
      <c r="AI29">
        <v>402.2954666666665</v>
      </c>
      <c r="AJ29">
        <v>-9.038513465200372E-05</v>
      </c>
      <c r="AK29">
        <v>66.94074759111417</v>
      </c>
      <c r="AL29">
        <f>(AN29 - AM29 + BM29*1E3/(8.314*(BO29+273.15)) * AP29/BL29 * AO29) * BL29/(100*AZ29) * 1000/(1000 - AN29)</f>
        <v>0</v>
      </c>
      <c r="AM29">
        <v>0.3810258128414975</v>
      </c>
      <c r="AN29">
        <v>2.192126121212121</v>
      </c>
      <c r="AO29">
        <v>-0.008808774212166906</v>
      </c>
      <c r="AP29">
        <v>79.9330008099611</v>
      </c>
      <c r="AQ29">
        <v>61</v>
      </c>
      <c r="AR29">
        <v>8</v>
      </c>
      <c r="AS29">
        <f>IF(AQ29*$H$13&gt;=AU29,1.0,(AU29/(AU29-AQ29*$H$13)))</f>
        <v>0</v>
      </c>
      <c r="AT29">
        <f>(AS29-1)*100</f>
        <v>0</v>
      </c>
      <c r="AU29">
        <f>MAX(0,($B$13+$C$13*BT29)/(1+$D$13*BT29)*BM29/(BO29+273)*$E$13)</f>
        <v>0</v>
      </c>
      <c r="AV29">
        <f>$B$11*BU29+$C$11*BV29+$F$11*CG29*(1-CJ29)</f>
        <v>0</v>
      </c>
      <c r="AW29">
        <f>AV29*AX29</f>
        <v>0</v>
      </c>
      <c r="AX29">
        <f>($B$11*$D$9+$C$11*$D$9+$F$11*((CT29+CL29)/MAX(CT29+CL29+CU29, 0.1)*$I$9+CU29/MAX(CT29+CL29+CU29, 0.1)*$J$9))/($B$11+$C$11+$F$11)</f>
        <v>0</v>
      </c>
      <c r="AY29">
        <f>($B$11*$K$9+$C$11*$K$9+$F$11*((CT29+CL29)/MAX(CT29+CL29+CU29, 0.1)*$P$9+CU29/MAX(CT29+CL29+CU29, 0.1)*$Q$9))/($B$11+$C$11+$F$11)</f>
        <v>0</v>
      </c>
      <c r="AZ29">
        <v>6</v>
      </c>
      <c r="BA29">
        <v>0.5</v>
      </c>
      <c r="BB29" t="s">
        <v>353</v>
      </c>
      <c r="BC29">
        <v>2</v>
      </c>
      <c r="BD29" t="b">
        <v>0</v>
      </c>
      <c r="BE29">
        <v>1751823705</v>
      </c>
      <c r="BF29">
        <v>401.342064516129</v>
      </c>
      <c r="BG29">
        <v>404.9834516129032</v>
      </c>
      <c r="BH29">
        <v>2.275180967741936</v>
      </c>
      <c r="BI29">
        <v>0.3804731935483871</v>
      </c>
      <c r="BJ29">
        <v>400.7760645161291</v>
      </c>
      <c r="BK29">
        <v>2.48335935483871</v>
      </c>
      <c r="BL29">
        <v>800.0038064516129</v>
      </c>
      <c r="BM29">
        <v>101.3582580645161</v>
      </c>
      <c r="BN29">
        <v>0.09988208064516131</v>
      </c>
      <c r="BO29">
        <v>30.32683870967742</v>
      </c>
      <c r="BP29">
        <v>29.8018935483871</v>
      </c>
      <c r="BQ29">
        <v>999.9000000000003</v>
      </c>
      <c r="BR29">
        <v>0</v>
      </c>
      <c r="BS29">
        <v>0</v>
      </c>
      <c r="BT29">
        <v>10000.68161290323</v>
      </c>
      <c r="BU29">
        <v>0</v>
      </c>
      <c r="BV29">
        <v>0.00152894</v>
      </c>
      <c r="BW29">
        <v>-3.606227419354839</v>
      </c>
      <c r="BX29">
        <v>402.2923870967742</v>
      </c>
      <c r="BY29">
        <v>405.1374838709678</v>
      </c>
      <c r="BZ29">
        <v>1.894707096774194</v>
      </c>
      <c r="CA29">
        <v>404.9834516129032</v>
      </c>
      <c r="CB29">
        <v>0.3804731935483871</v>
      </c>
      <c r="CC29">
        <v>0.2306083225806452</v>
      </c>
      <c r="CD29">
        <v>0.03856408387096774</v>
      </c>
      <c r="CE29">
        <v>-12.76529032258065</v>
      </c>
      <c r="CF29">
        <v>-32.89683548387097</v>
      </c>
      <c r="CG29">
        <v>1000.007290322581</v>
      </c>
      <c r="CH29">
        <v>0.9600077419354841</v>
      </c>
      <c r="CI29">
        <v>0.03999236774193548</v>
      </c>
      <c r="CJ29">
        <v>0</v>
      </c>
      <c r="CK29">
        <v>1.565322580645161</v>
      </c>
      <c r="CL29">
        <v>0</v>
      </c>
      <c r="CM29">
        <v>6480.439677419355</v>
      </c>
      <c r="CN29">
        <v>7946.995161290321</v>
      </c>
      <c r="CO29">
        <v>35.47967741935484</v>
      </c>
      <c r="CP29">
        <v>38.28199999999999</v>
      </c>
      <c r="CQ29">
        <v>36.6128064516129</v>
      </c>
      <c r="CR29">
        <v>37.68699999999998</v>
      </c>
      <c r="CS29">
        <v>36.25</v>
      </c>
      <c r="CT29">
        <v>960.0164516129033</v>
      </c>
      <c r="CU29">
        <v>39.99064516129032</v>
      </c>
      <c r="CV29">
        <v>0</v>
      </c>
      <c r="CW29">
        <v>1751823731.7</v>
      </c>
      <c r="CX29">
        <v>0</v>
      </c>
      <c r="CY29">
        <v>1751823730</v>
      </c>
      <c r="CZ29" t="s">
        <v>394</v>
      </c>
      <c r="DA29">
        <v>1751823730</v>
      </c>
      <c r="DB29">
        <v>1751823307.5</v>
      </c>
      <c r="DC29">
        <v>12</v>
      </c>
      <c r="DD29">
        <v>-0.034</v>
      </c>
      <c r="DE29">
        <v>0.002</v>
      </c>
      <c r="DF29">
        <v>0.5659999999999999</v>
      </c>
      <c r="DG29">
        <v>-0.185</v>
      </c>
      <c r="DH29">
        <v>405</v>
      </c>
      <c r="DI29">
        <v>0</v>
      </c>
      <c r="DJ29">
        <v>0.2</v>
      </c>
      <c r="DK29">
        <v>0.09</v>
      </c>
      <c r="DL29">
        <v>-3.58555756097561</v>
      </c>
      <c r="DM29">
        <v>-0.2613842508710774</v>
      </c>
      <c r="DN29">
        <v>0.04914601042193176</v>
      </c>
      <c r="DO29">
        <v>0</v>
      </c>
      <c r="DP29">
        <v>1.960786585365853</v>
      </c>
      <c r="DQ29">
        <v>-1.186426829268294</v>
      </c>
      <c r="DR29">
        <v>0.1217767569358114</v>
      </c>
      <c r="DS29">
        <v>0</v>
      </c>
      <c r="DT29">
        <v>0</v>
      </c>
      <c r="DU29">
        <v>2</v>
      </c>
      <c r="DV29" t="s">
        <v>365</v>
      </c>
      <c r="DW29">
        <v>3.44143</v>
      </c>
      <c r="DX29">
        <v>2.7801</v>
      </c>
      <c r="DY29">
        <v>0.09568210000000001</v>
      </c>
      <c r="DZ29">
        <v>0.0963832</v>
      </c>
      <c r="EA29">
        <v>0.0186039</v>
      </c>
      <c r="EB29">
        <v>0.00332924</v>
      </c>
      <c r="EC29">
        <v>27038</v>
      </c>
      <c r="ED29">
        <v>30741.4</v>
      </c>
      <c r="EE29">
        <v>29057.8</v>
      </c>
      <c r="EF29">
        <v>34626.3</v>
      </c>
      <c r="EG29">
        <v>33005.2</v>
      </c>
      <c r="EH29">
        <v>42708</v>
      </c>
      <c r="EI29">
        <v>35772.4</v>
      </c>
      <c r="EJ29">
        <v>45672.9</v>
      </c>
      <c r="EK29">
        <v>2.372</v>
      </c>
      <c r="EL29">
        <v>2.1023</v>
      </c>
      <c r="EM29">
        <v>0.0417605</v>
      </c>
      <c r="EN29">
        <v>0</v>
      </c>
      <c r="EO29">
        <v>29.2194</v>
      </c>
      <c r="EP29">
        <v>999.9</v>
      </c>
      <c r="EQ29">
        <v>50</v>
      </c>
      <c r="ER29">
        <v>28.9</v>
      </c>
      <c r="ES29">
        <v>19.7246</v>
      </c>
      <c r="ET29">
        <v>62.27</v>
      </c>
      <c r="EU29">
        <v>25.7973</v>
      </c>
      <c r="EV29">
        <v>2</v>
      </c>
      <c r="EW29">
        <v>0.0984121</v>
      </c>
      <c r="EX29">
        <v>0</v>
      </c>
      <c r="EY29">
        <v>20.2915</v>
      </c>
      <c r="EZ29">
        <v>5.20696</v>
      </c>
      <c r="FA29">
        <v>11.974</v>
      </c>
      <c r="FB29">
        <v>4.98875</v>
      </c>
      <c r="FC29">
        <v>3.272</v>
      </c>
      <c r="FD29">
        <v>3842.3</v>
      </c>
      <c r="FE29">
        <v>9999</v>
      </c>
      <c r="FF29">
        <v>9999</v>
      </c>
      <c r="FG29">
        <v>999.9</v>
      </c>
      <c r="FH29">
        <v>4.9726</v>
      </c>
      <c r="FI29">
        <v>1.86301</v>
      </c>
      <c r="FJ29">
        <v>1.86485</v>
      </c>
      <c r="FK29">
        <v>1.86331</v>
      </c>
      <c r="FL29">
        <v>1.86327</v>
      </c>
      <c r="FM29">
        <v>1.86384</v>
      </c>
      <c r="FN29">
        <v>1.86034</v>
      </c>
      <c r="FO29">
        <v>1.8631</v>
      </c>
      <c r="FP29">
        <v>0</v>
      </c>
      <c r="FQ29">
        <v>0</v>
      </c>
      <c r="FR29">
        <v>0</v>
      </c>
      <c r="FS29">
        <v>0</v>
      </c>
      <c r="FT29" t="s">
        <v>356</v>
      </c>
      <c r="FU29" t="s">
        <v>357</v>
      </c>
      <c r="FV29" t="s">
        <v>358</v>
      </c>
      <c r="FW29" t="s">
        <v>358</v>
      </c>
      <c r="FX29" t="s">
        <v>358</v>
      </c>
      <c r="FY29" t="s">
        <v>358</v>
      </c>
      <c r="FZ29">
        <v>0</v>
      </c>
      <c r="GA29">
        <v>100</v>
      </c>
      <c r="GB29">
        <v>100</v>
      </c>
      <c r="GC29">
        <v>0.5659999999999999</v>
      </c>
      <c r="GD29">
        <v>-0.2075</v>
      </c>
      <c r="GE29">
        <v>0.883297040823434</v>
      </c>
      <c r="GF29">
        <v>-0.001033730503750798</v>
      </c>
      <c r="GG29">
        <v>9.120241388950126E-07</v>
      </c>
      <c r="GH29">
        <v>-2.246115299815222E-10</v>
      </c>
      <c r="GI29">
        <v>-0.1757249285518827</v>
      </c>
      <c r="GJ29">
        <v>-0.01814858093373864</v>
      </c>
      <c r="GK29">
        <v>0.002091959988359369</v>
      </c>
      <c r="GL29">
        <v>-1.90871700788604E-05</v>
      </c>
      <c r="GM29">
        <v>2</v>
      </c>
      <c r="GN29">
        <v>2210</v>
      </c>
      <c r="GO29">
        <v>1</v>
      </c>
      <c r="GP29">
        <v>26</v>
      </c>
      <c r="GQ29">
        <v>1.3</v>
      </c>
      <c r="GR29">
        <v>6.8</v>
      </c>
      <c r="GS29">
        <v>1.25854</v>
      </c>
      <c r="GT29">
        <v>2.39746</v>
      </c>
      <c r="GU29">
        <v>2.34741</v>
      </c>
      <c r="GV29">
        <v>2.677</v>
      </c>
      <c r="GW29">
        <v>2.39868</v>
      </c>
      <c r="GX29">
        <v>2.2998</v>
      </c>
      <c r="GY29">
        <v>34.6006</v>
      </c>
      <c r="GZ29">
        <v>16.0671</v>
      </c>
      <c r="HA29">
        <v>18</v>
      </c>
      <c r="HB29">
        <v>757.84</v>
      </c>
      <c r="HC29">
        <v>597.3819999999999</v>
      </c>
      <c r="HD29">
        <v>29.9069</v>
      </c>
      <c r="HE29">
        <v>28.9889</v>
      </c>
      <c r="HF29">
        <v>30.0004</v>
      </c>
      <c r="HG29">
        <v>28.7556</v>
      </c>
      <c r="HH29">
        <v>28.7087</v>
      </c>
      <c r="HI29">
        <v>25.2284</v>
      </c>
      <c r="HJ29">
        <v>100</v>
      </c>
      <c r="HK29">
        <v>0</v>
      </c>
      <c r="HL29">
        <v>-999.9</v>
      </c>
      <c r="HM29">
        <v>405</v>
      </c>
      <c r="HN29">
        <v>0</v>
      </c>
      <c r="HO29">
        <v>99.77160000000001</v>
      </c>
      <c r="HP29">
        <v>99.8793</v>
      </c>
    </row>
    <row r="30" spans="1:224">
      <c r="A30">
        <v>14</v>
      </c>
      <c r="B30">
        <v>1751823802.5</v>
      </c>
      <c r="C30">
        <v>1415.900000095367</v>
      </c>
      <c r="D30" t="s">
        <v>395</v>
      </c>
      <c r="E30" t="s">
        <v>396</v>
      </c>
      <c r="F30">
        <v>15</v>
      </c>
      <c r="G30">
        <v>1751823794.75</v>
      </c>
      <c r="H30">
        <f>(I30)/1000</f>
        <v>0</v>
      </c>
      <c r="I30">
        <f>IF(BD30, AL30, AF30)</f>
        <v>0</v>
      </c>
      <c r="J30">
        <f>IF(BD30, AG30, AE30)</f>
        <v>0</v>
      </c>
      <c r="K30">
        <f>BF30 - IF(AS30&gt;1, J30*AZ30*100.0/(AU30), 0)</f>
        <v>0</v>
      </c>
      <c r="L30">
        <f>((R30-H30/2)*K30-J30)/(R30+H30/2)</f>
        <v>0</v>
      </c>
      <c r="M30">
        <f>L30*(BM30+BN30)/1000.0</f>
        <v>0</v>
      </c>
      <c r="N30">
        <f>(BF30 - IF(AS30&gt;1, J30*AZ30*100.0/(AU30), 0))*(BM30+BN30)/1000.0</f>
        <v>0</v>
      </c>
      <c r="O30">
        <f>2.0/((1/Q30-1/P30)+SIGN(Q30)*SQRT((1/Q30-1/P30)*(1/Q30-1/P30) + 4*BA30/((BA30+1)*(BA30+1))*(2*1/Q30*1/P30-1/P30*1/P30)))</f>
        <v>0</v>
      </c>
      <c r="P30">
        <f>IF(LEFT(BB30,1)&lt;&gt;"0",IF(LEFT(BB30,1)="1",3.0,BC30),$D$5+$E$5*(BT30*BM30/($K$5*1000))+$F$5*(BT30*BM30/($K$5*1000))*MAX(MIN(AZ30,$J$5),$I$5)*MAX(MIN(AZ30,$J$5),$I$5)+$G$5*MAX(MIN(AZ30,$J$5),$I$5)*(BT30*BM30/($K$5*1000))+$H$5*(BT30*BM30/($K$5*1000))*(BT30*BM30/($K$5*1000)))</f>
        <v>0</v>
      </c>
      <c r="Q30">
        <f>H30*(1000-(1000*0.61365*exp(17.502*U30/(240.97+U30))/(BM30+BN30)+BH30)/2)/(1000*0.61365*exp(17.502*U30/(240.97+U30))/(BM30+BN30)-BH30)</f>
        <v>0</v>
      </c>
      <c r="R30">
        <f>1/((BA30+1)/(O30/1.6)+1/(P30/1.37)) + BA30/((BA30+1)/(O30/1.6) + BA30/(P30/1.37))</f>
        <v>0</v>
      </c>
      <c r="S30">
        <f>(AV30*AY30)</f>
        <v>0</v>
      </c>
      <c r="T30">
        <f>(BO30+(S30+2*0.95*5.67E-8*(((BO30+$B$7)+273)^4-(BO30+273)^4)-44100*H30)/(1.84*29.3*P30+8*0.95*5.67E-8*(BO30+273)^3))</f>
        <v>0</v>
      </c>
      <c r="U30">
        <f>($C$7*BP30+$D$7*BQ30+$E$7*T30)</f>
        <v>0</v>
      </c>
      <c r="V30">
        <f>0.61365*exp(17.502*U30/(240.97+U30))</f>
        <v>0</v>
      </c>
      <c r="W30">
        <f>(X30/Y30*100)</f>
        <v>0</v>
      </c>
      <c r="X30">
        <f>BH30*(BM30+BN30)/1000</f>
        <v>0</v>
      </c>
      <c r="Y30">
        <f>0.61365*exp(17.502*BO30/(240.97+BO30))</f>
        <v>0</v>
      </c>
      <c r="Z30">
        <f>(V30-BH30*(BM30+BN30)/1000)</f>
        <v>0</v>
      </c>
      <c r="AA30">
        <f>(-H30*44100)</f>
        <v>0</v>
      </c>
      <c r="AB30">
        <f>2*29.3*P30*0.92*(BO30-U30)</f>
        <v>0</v>
      </c>
      <c r="AC30">
        <f>2*0.95*5.67E-8*(((BO30+$B$7)+273)^4-(U30+273)^4)</f>
        <v>0</v>
      </c>
      <c r="AD30">
        <f>S30+AC30+AA30+AB30</f>
        <v>0</v>
      </c>
      <c r="AE30">
        <f>BL30*AS30*(BG30-BF30*(1000-AS30*BI30)/(1000-AS30*BH30))/(100*AZ30)</f>
        <v>0</v>
      </c>
      <c r="AF30">
        <f>1000*BL30*AS30*(BH30-BI30)/(100*AZ30*(1000-AS30*BH30))</f>
        <v>0</v>
      </c>
      <c r="AG30">
        <f>(AH30 - AI30 - BM30*1E3/(8.314*(BO30+273.15)) * AK30/BL30 * AJ30) * BL30/(100*AZ30) * (1000 - BI30)/1000</f>
        <v>0</v>
      </c>
      <c r="AH30">
        <v>405.1653959339243</v>
      </c>
      <c r="AI30">
        <v>402.0508303030304</v>
      </c>
      <c r="AJ30">
        <v>-0.0007386601594806804</v>
      </c>
      <c r="AK30">
        <v>66.94025878070745</v>
      </c>
      <c r="AL30">
        <f>(AN30 - AM30 + BM30*1E3/(8.314*(BO30+273.15)) * AP30/BL30 * AO30) * BL30/(100*AZ30) * 1000/(1000 - AN30)</f>
        <v>0</v>
      </c>
      <c r="AM30">
        <v>0.3847290996894525</v>
      </c>
      <c r="AN30">
        <v>1.917636666666666</v>
      </c>
      <c r="AO30">
        <v>-0.005005204098516965</v>
      </c>
      <c r="AP30">
        <v>79.87527212587558</v>
      </c>
      <c r="AQ30">
        <v>47</v>
      </c>
      <c r="AR30">
        <v>6</v>
      </c>
      <c r="AS30">
        <f>IF(AQ30*$H$13&gt;=AU30,1.0,(AU30/(AU30-AQ30*$H$13)))</f>
        <v>0</v>
      </c>
      <c r="AT30">
        <f>(AS30-1)*100</f>
        <v>0</v>
      </c>
      <c r="AU30">
        <f>MAX(0,($B$13+$C$13*BT30)/(1+$D$13*BT30)*BM30/(BO30+273)*$E$13)</f>
        <v>0</v>
      </c>
      <c r="AV30">
        <f>$B$11*BU30+$C$11*BV30+$F$11*CG30*(1-CJ30)</f>
        <v>0</v>
      </c>
      <c r="AW30">
        <f>AV30*AX30</f>
        <v>0</v>
      </c>
      <c r="AX30">
        <f>($B$11*$D$9+$C$11*$D$9+$F$11*((CT30+CL30)/MAX(CT30+CL30+CU30, 0.1)*$I$9+CU30/MAX(CT30+CL30+CU30, 0.1)*$J$9))/($B$11+$C$11+$F$11)</f>
        <v>0</v>
      </c>
      <c r="AY30">
        <f>($B$11*$K$9+$C$11*$K$9+$F$11*((CT30+CL30)/MAX(CT30+CL30+CU30, 0.1)*$P$9+CU30/MAX(CT30+CL30+CU30, 0.1)*$Q$9))/($B$11+$C$11+$F$11)</f>
        <v>0</v>
      </c>
      <c r="AZ30">
        <v>6</v>
      </c>
      <c r="BA30">
        <v>0.5</v>
      </c>
      <c r="BB30" t="s">
        <v>353</v>
      </c>
      <c r="BC30">
        <v>2</v>
      </c>
      <c r="BD30" t="b">
        <v>0</v>
      </c>
      <c r="BE30">
        <v>1751823794.75</v>
      </c>
      <c r="BF30">
        <v>401.1952</v>
      </c>
      <c r="BG30">
        <v>404.9961333333333</v>
      </c>
      <c r="BH30">
        <v>1.961765</v>
      </c>
      <c r="BI30">
        <v>0.3845193333333333</v>
      </c>
      <c r="BJ30">
        <v>400.7042</v>
      </c>
      <c r="BK30">
        <v>2.167188666666667</v>
      </c>
      <c r="BL30">
        <v>799.9935666666665</v>
      </c>
      <c r="BM30">
        <v>101.3587</v>
      </c>
      <c r="BN30">
        <v>0.1001591</v>
      </c>
      <c r="BO30">
        <v>30.36535</v>
      </c>
      <c r="BP30">
        <v>30.28568666666667</v>
      </c>
      <c r="BQ30">
        <v>999.9000000000002</v>
      </c>
      <c r="BR30">
        <v>0</v>
      </c>
      <c r="BS30">
        <v>0</v>
      </c>
      <c r="BT30">
        <v>9997.939333333334</v>
      </c>
      <c r="BU30">
        <v>0</v>
      </c>
      <c r="BV30">
        <v>0.00152894</v>
      </c>
      <c r="BW30">
        <v>-3.724764666666666</v>
      </c>
      <c r="BX30">
        <v>402.0601</v>
      </c>
      <c r="BY30">
        <v>405.1519333333334</v>
      </c>
      <c r="BZ30">
        <v>1.577247</v>
      </c>
      <c r="CA30">
        <v>404.9961333333333</v>
      </c>
      <c r="CB30">
        <v>0.3845193333333333</v>
      </c>
      <c r="CC30">
        <v>0.198842</v>
      </c>
      <c r="CD30">
        <v>0.03897438666666667</v>
      </c>
      <c r="CE30">
        <v>-14.57831</v>
      </c>
      <c r="CF30">
        <v>-32.78810333333333</v>
      </c>
      <c r="CG30">
        <v>1000.018433333333</v>
      </c>
      <c r="CH30">
        <v>0.9600128666666666</v>
      </c>
      <c r="CI30">
        <v>0.03998734999999999</v>
      </c>
      <c r="CJ30">
        <v>0</v>
      </c>
      <c r="CK30">
        <v>2.0965</v>
      </c>
      <c r="CL30">
        <v>0</v>
      </c>
      <c r="CM30">
        <v>7089.044333333334</v>
      </c>
      <c r="CN30">
        <v>7947.102666666667</v>
      </c>
      <c r="CO30">
        <v>35.44119999999999</v>
      </c>
      <c r="CP30">
        <v>38.28719999999998</v>
      </c>
      <c r="CQ30">
        <v>36.625</v>
      </c>
      <c r="CR30">
        <v>37.625</v>
      </c>
      <c r="CS30">
        <v>36.2416</v>
      </c>
      <c r="CT30">
        <v>960.0293333333333</v>
      </c>
      <c r="CU30">
        <v>39.98933333333333</v>
      </c>
      <c r="CV30">
        <v>0</v>
      </c>
      <c r="CW30">
        <v>1751823821.1</v>
      </c>
      <c r="CX30">
        <v>0</v>
      </c>
      <c r="CY30">
        <v>1751823825.5</v>
      </c>
      <c r="CZ30" t="s">
        <v>397</v>
      </c>
      <c r="DA30">
        <v>1751823825.5</v>
      </c>
      <c r="DB30">
        <v>1751823307.5</v>
      </c>
      <c r="DC30">
        <v>13</v>
      </c>
      <c r="DD30">
        <v>-0.074</v>
      </c>
      <c r="DE30">
        <v>0.002</v>
      </c>
      <c r="DF30">
        <v>0.491</v>
      </c>
      <c r="DG30">
        <v>-0.185</v>
      </c>
      <c r="DH30">
        <v>405</v>
      </c>
      <c r="DI30">
        <v>0</v>
      </c>
      <c r="DJ30">
        <v>0.6899999999999999</v>
      </c>
      <c r="DK30">
        <v>0.09</v>
      </c>
      <c r="DL30">
        <v>-3.730129512195122</v>
      </c>
      <c r="DM30">
        <v>0.1098786062717747</v>
      </c>
      <c r="DN30">
        <v>0.02078078415281646</v>
      </c>
      <c r="DO30">
        <v>0</v>
      </c>
      <c r="DP30">
        <v>1.606455853658536</v>
      </c>
      <c r="DQ30">
        <v>-0.5641942160278723</v>
      </c>
      <c r="DR30">
        <v>0.05701242038301657</v>
      </c>
      <c r="DS30">
        <v>0</v>
      </c>
      <c r="DT30">
        <v>0</v>
      </c>
      <c r="DU30">
        <v>2</v>
      </c>
      <c r="DV30" t="s">
        <v>365</v>
      </c>
      <c r="DW30">
        <v>3.44153</v>
      </c>
      <c r="DX30">
        <v>2.78104</v>
      </c>
      <c r="DY30">
        <v>0.0956511</v>
      </c>
      <c r="DZ30">
        <v>0.0963664</v>
      </c>
      <c r="EA30">
        <v>0.0166493</v>
      </c>
      <c r="EB30">
        <v>0.0033604</v>
      </c>
      <c r="EC30">
        <v>27037.6</v>
      </c>
      <c r="ED30">
        <v>30741.1</v>
      </c>
      <c r="EE30">
        <v>29056.5</v>
      </c>
      <c r="EF30">
        <v>34625.5</v>
      </c>
      <c r="EG30">
        <v>33069.9</v>
      </c>
      <c r="EH30">
        <v>42705.8</v>
      </c>
      <c r="EI30">
        <v>35771.2</v>
      </c>
      <c r="EJ30">
        <v>45672</v>
      </c>
      <c r="EK30">
        <v>2.39208</v>
      </c>
      <c r="EL30">
        <v>2.09973</v>
      </c>
      <c r="EM30">
        <v>0.0641197</v>
      </c>
      <c r="EN30">
        <v>0</v>
      </c>
      <c r="EO30">
        <v>29.2545</v>
      </c>
      <c r="EP30">
        <v>999.9</v>
      </c>
      <c r="EQ30">
        <v>49.5</v>
      </c>
      <c r="ER30">
        <v>29.1</v>
      </c>
      <c r="ES30">
        <v>19.7547</v>
      </c>
      <c r="ET30">
        <v>62.1901</v>
      </c>
      <c r="EU30">
        <v>25.6931</v>
      </c>
      <c r="EV30">
        <v>2</v>
      </c>
      <c r="EW30">
        <v>0.101372</v>
      </c>
      <c r="EX30">
        <v>0</v>
      </c>
      <c r="EY30">
        <v>20.2917</v>
      </c>
      <c r="EZ30">
        <v>5.2107</v>
      </c>
      <c r="FA30">
        <v>11.974</v>
      </c>
      <c r="FB30">
        <v>4.98985</v>
      </c>
      <c r="FC30">
        <v>3.272</v>
      </c>
      <c r="FD30">
        <v>3844.7</v>
      </c>
      <c r="FE30">
        <v>9999</v>
      </c>
      <c r="FF30">
        <v>9999</v>
      </c>
      <c r="FG30">
        <v>999.9</v>
      </c>
      <c r="FH30">
        <v>4.97263</v>
      </c>
      <c r="FI30">
        <v>1.86305</v>
      </c>
      <c r="FJ30">
        <v>1.86492</v>
      </c>
      <c r="FK30">
        <v>1.86337</v>
      </c>
      <c r="FL30">
        <v>1.8633</v>
      </c>
      <c r="FM30">
        <v>1.86385</v>
      </c>
      <c r="FN30">
        <v>1.86035</v>
      </c>
      <c r="FO30">
        <v>1.8631</v>
      </c>
      <c r="FP30">
        <v>0</v>
      </c>
      <c r="FQ30">
        <v>0</v>
      </c>
      <c r="FR30">
        <v>0</v>
      </c>
      <c r="FS30">
        <v>0</v>
      </c>
      <c r="FT30" t="s">
        <v>356</v>
      </c>
      <c r="FU30" t="s">
        <v>357</v>
      </c>
      <c r="FV30" t="s">
        <v>358</v>
      </c>
      <c r="FW30" t="s">
        <v>358</v>
      </c>
      <c r="FX30" t="s">
        <v>358</v>
      </c>
      <c r="FY30" t="s">
        <v>358</v>
      </c>
      <c r="FZ30">
        <v>0</v>
      </c>
      <c r="GA30">
        <v>100</v>
      </c>
      <c r="GB30">
        <v>100</v>
      </c>
      <c r="GC30">
        <v>0.491</v>
      </c>
      <c r="GD30">
        <v>-0.205</v>
      </c>
      <c r="GE30">
        <v>0.84947200387176</v>
      </c>
      <c r="GF30">
        <v>-0.001033730503750798</v>
      </c>
      <c r="GG30">
        <v>9.120241388950126E-07</v>
      </c>
      <c r="GH30">
        <v>-2.246115299815222E-10</v>
      </c>
      <c r="GI30">
        <v>-0.1757249285518827</v>
      </c>
      <c r="GJ30">
        <v>-0.01814858093373864</v>
      </c>
      <c r="GK30">
        <v>0.002091959988359369</v>
      </c>
      <c r="GL30">
        <v>-1.90871700788604E-05</v>
      </c>
      <c r="GM30">
        <v>2</v>
      </c>
      <c r="GN30">
        <v>2210</v>
      </c>
      <c r="GO30">
        <v>1</v>
      </c>
      <c r="GP30">
        <v>26</v>
      </c>
      <c r="GQ30">
        <v>1.2</v>
      </c>
      <c r="GR30">
        <v>8.199999999999999</v>
      </c>
      <c r="GS30">
        <v>1.25854</v>
      </c>
      <c r="GT30">
        <v>2.40479</v>
      </c>
      <c r="GU30">
        <v>2.34741</v>
      </c>
      <c r="GV30">
        <v>2.67334</v>
      </c>
      <c r="GW30">
        <v>2.39868</v>
      </c>
      <c r="GX30">
        <v>2.27051</v>
      </c>
      <c r="GY30">
        <v>34.7608</v>
      </c>
      <c r="GZ30">
        <v>16.0583</v>
      </c>
      <c r="HA30">
        <v>18</v>
      </c>
      <c r="HB30">
        <v>775.479</v>
      </c>
      <c r="HC30">
        <v>595.984</v>
      </c>
      <c r="HD30">
        <v>29.9837</v>
      </c>
      <c r="HE30">
        <v>29.0433</v>
      </c>
      <c r="HF30">
        <v>30.0001</v>
      </c>
      <c r="HG30">
        <v>28.8117</v>
      </c>
      <c r="HH30">
        <v>28.7652</v>
      </c>
      <c r="HI30">
        <v>25.2383</v>
      </c>
      <c r="HJ30">
        <v>100</v>
      </c>
      <c r="HK30">
        <v>0</v>
      </c>
      <c r="HL30">
        <v>-999.9</v>
      </c>
      <c r="HM30">
        <v>405</v>
      </c>
      <c r="HN30">
        <v>0</v>
      </c>
      <c r="HO30">
        <v>99.7677</v>
      </c>
      <c r="HP30">
        <v>99.8772</v>
      </c>
    </row>
    <row r="31" spans="1:224">
      <c r="A31">
        <v>15</v>
      </c>
      <c r="B31">
        <v>1751823900.5</v>
      </c>
      <c r="C31">
        <v>1513.900000095367</v>
      </c>
      <c r="D31" t="s">
        <v>398</v>
      </c>
      <c r="E31" t="s">
        <v>399</v>
      </c>
      <c r="F31">
        <v>15</v>
      </c>
      <c r="G31">
        <v>1751823892.5</v>
      </c>
      <c r="H31">
        <f>(I31)/1000</f>
        <v>0</v>
      </c>
      <c r="I31">
        <f>IF(BD31, AL31, AF31)</f>
        <v>0</v>
      </c>
      <c r="J31">
        <f>IF(BD31, AG31, AE31)</f>
        <v>0</v>
      </c>
      <c r="K31">
        <f>BF31 - IF(AS31&gt;1, J31*AZ31*100.0/(AU31), 0)</f>
        <v>0</v>
      </c>
      <c r="L31">
        <f>((R31-H31/2)*K31-J31)/(R31+H31/2)</f>
        <v>0</v>
      </c>
      <c r="M31">
        <f>L31*(BM31+BN31)/1000.0</f>
        <v>0</v>
      </c>
      <c r="N31">
        <f>(BF31 - IF(AS31&gt;1, J31*AZ31*100.0/(AU31), 0))*(BM31+BN31)/1000.0</f>
        <v>0</v>
      </c>
      <c r="O31">
        <f>2.0/((1/Q31-1/P31)+SIGN(Q31)*SQRT((1/Q31-1/P31)*(1/Q31-1/P31) + 4*BA31/((BA31+1)*(BA31+1))*(2*1/Q31*1/P31-1/P31*1/P31)))</f>
        <v>0</v>
      </c>
      <c r="P31">
        <f>IF(LEFT(BB31,1)&lt;&gt;"0",IF(LEFT(BB31,1)="1",3.0,BC31),$D$5+$E$5*(BT31*BM31/($K$5*1000))+$F$5*(BT31*BM31/($K$5*1000))*MAX(MIN(AZ31,$J$5),$I$5)*MAX(MIN(AZ31,$J$5),$I$5)+$G$5*MAX(MIN(AZ31,$J$5),$I$5)*(BT31*BM31/($K$5*1000))+$H$5*(BT31*BM31/($K$5*1000))*(BT31*BM31/($K$5*1000)))</f>
        <v>0</v>
      </c>
      <c r="Q31">
        <f>H31*(1000-(1000*0.61365*exp(17.502*U31/(240.97+U31))/(BM31+BN31)+BH31)/2)/(1000*0.61365*exp(17.502*U31/(240.97+U31))/(BM31+BN31)-BH31)</f>
        <v>0</v>
      </c>
      <c r="R31">
        <f>1/((BA31+1)/(O31/1.6)+1/(P31/1.37)) + BA31/((BA31+1)/(O31/1.6) + BA31/(P31/1.37))</f>
        <v>0</v>
      </c>
      <c r="S31">
        <f>(AV31*AY31)</f>
        <v>0</v>
      </c>
      <c r="T31">
        <f>(BO31+(S31+2*0.95*5.67E-8*(((BO31+$B$7)+273)^4-(BO31+273)^4)-44100*H31)/(1.84*29.3*P31+8*0.95*5.67E-8*(BO31+273)^3))</f>
        <v>0</v>
      </c>
      <c r="U31">
        <f>($C$7*BP31+$D$7*BQ31+$E$7*T31)</f>
        <v>0</v>
      </c>
      <c r="V31">
        <f>0.61365*exp(17.502*U31/(240.97+U31))</f>
        <v>0</v>
      </c>
      <c r="W31">
        <f>(X31/Y31*100)</f>
        <v>0</v>
      </c>
      <c r="X31">
        <f>BH31*(BM31+BN31)/1000</f>
        <v>0</v>
      </c>
      <c r="Y31">
        <f>0.61365*exp(17.502*BO31/(240.97+BO31))</f>
        <v>0</v>
      </c>
      <c r="Z31">
        <f>(V31-BH31*(BM31+BN31)/1000)</f>
        <v>0</v>
      </c>
      <c r="AA31">
        <f>(-H31*44100)</f>
        <v>0</v>
      </c>
      <c r="AB31">
        <f>2*29.3*P31*0.92*(BO31-U31)</f>
        <v>0</v>
      </c>
      <c r="AC31">
        <f>2*0.95*5.67E-8*(((BO31+$B$7)+273)^4-(U31+273)^4)</f>
        <v>0</v>
      </c>
      <c r="AD31">
        <f>S31+AC31+AA31+AB31</f>
        <v>0</v>
      </c>
      <c r="AE31">
        <f>BL31*AS31*(BG31-BF31*(1000-AS31*BI31)/(1000-AS31*BH31))/(100*AZ31)</f>
        <v>0</v>
      </c>
      <c r="AF31">
        <f>1000*BL31*AS31*(BH31-BI31)/(100*AZ31*(1000-AS31*BH31))</f>
        <v>0</v>
      </c>
      <c r="AG31">
        <f>(AH31 - AI31 - BM31*1E3/(8.314*(BO31+273.15)) * AK31/BL31 * AJ31) * BL31/(100*AZ31) * (1000 - BI31)/1000</f>
        <v>0</v>
      </c>
      <c r="AH31">
        <v>405.1282919492706</v>
      </c>
      <c r="AI31">
        <v>403.3628424242425</v>
      </c>
      <c r="AJ31">
        <v>-0.0004601719110392267</v>
      </c>
      <c r="AK31">
        <v>66.94073793291354</v>
      </c>
      <c r="AL31">
        <f>(AN31 - AM31 + BM31*1E3/(8.314*(BO31+273.15)) * AP31/BL31 * AO31) * BL31/(100*AZ31) * 1000/(1000 - AN31)</f>
        <v>0</v>
      </c>
      <c r="AM31">
        <v>0.391646791792797</v>
      </c>
      <c r="AN31">
        <v>2.556289272727273</v>
      </c>
      <c r="AO31">
        <v>-0.005213259010194844</v>
      </c>
      <c r="AP31">
        <v>79.92281301077139</v>
      </c>
      <c r="AQ31">
        <v>34</v>
      </c>
      <c r="AR31">
        <v>4</v>
      </c>
      <c r="AS31">
        <f>IF(AQ31*$H$13&gt;=AU31,1.0,(AU31/(AU31-AQ31*$H$13)))</f>
        <v>0</v>
      </c>
      <c r="AT31">
        <f>(AS31-1)*100</f>
        <v>0</v>
      </c>
      <c r="AU31">
        <f>MAX(0,($B$13+$C$13*BT31)/(1+$D$13*BT31)*BM31/(BO31+273)*$E$13)</f>
        <v>0</v>
      </c>
      <c r="AV31">
        <f>$B$11*BU31+$C$11*BV31+$F$11*CG31*(1-CJ31)</f>
        <v>0</v>
      </c>
      <c r="AW31">
        <f>AV31*AX31</f>
        <v>0</v>
      </c>
      <c r="AX31">
        <f>($B$11*$D$9+$C$11*$D$9+$F$11*((CT31+CL31)/MAX(CT31+CL31+CU31, 0.1)*$I$9+CU31/MAX(CT31+CL31+CU31, 0.1)*$J$9))/($B$11+$C$11+$F$11)</f>
        <v>0</v>
      </c>
      <c r="AY31">
        <f>($B$11*$K$9+$C$11*$K$9+$F$11*((CT31+CL31)/MAX(CT31+CL31+CU31, 0.1)*$P$9+CU31/MAX(CT31+CL31+CU31, 0.1)*$Q$9))/($B$11+$C$11+$F$11)</f>
        <v>0</v>
      </c>
      <c r="AZ31">
        <v>6</v>
      </c>
      <c r="BA31">
        <v>0.5</v>
      </c>
      <c r="BB31" t="s">
        <v>353</v>
      </c>
      <c r="BC31">
        <v>2</v>
      </c>
      <c r="BD31" t="b">
        <v>0</v>
      </c>
      <c r="BE31">
        <v>1751823892.5</v>
      </c>
      <c r="BF31">
        <v>402.3435483870968</v>
      </c>
      <c r="BG31">
        <v>404.9803870967741</v>
      </c>
      <c r="BH31">
        <v>2.601738709677419</v>
      </c>
      <c r="BI31">
        <v>0.3912036451612903</v>
      </c>
      <c r="BJ31">
        <v>401.8195483870968</v>
      </c>
      <c r="BK31">
        <v>2.812380000000001</v>
      </c>
      <c r="BL31">
        <v>800.0173870967743</v>
      </c>
      <c r="BM31">
        <v>101.3605161290323</v>
      </c>
      <c r="BN31">
        <v>0.09991603548387097</v>
      </c>
      <c r="BO31">
        <v>30.51354838709677</v>
      </c>
      <c r="BP31">
        <v>30.63694838709678</v>
      </c>
      <c r="BQ31">
        <v>999.9000000000003</v>
      </c>
      <c r="BR31">
        <v>0</v>
      </c>
      <c r="BS31">
        <v>0</v>
      </c>
      <c r="BT31">
        <v>10004.19161290323</v>
      </c>
      <c r="BU31">
        <v>0</v>
      </c>
      <c r="BV31">
        <v>0.00152894</v>
      </c>
      <c r="BW31">
        <v>-2.668327419354839</v>
      </c>
      <c r="BX31">
        <v>403.3613870967741</v>
      </c>
      <c r="BY31">
        <v>405.1387419354838</v>
      </c>
      <c r="BZ31">
        <v>2.210535161290323</v>
      </c>
      <c r="CA31">
        <v>404.9803870967741</v>
      </c>
      <c r="CB31">
        <v>0.3912036451612903</v>
      </c>
      <c r="CC31">
        <v>0.2637136451612904</v>
      </c>
      <c r="CD31">
        <v>0.0396526129032258</v>
      </c>
      <c r="CE31">
        <v>-11.09358709677419</v>
      </c>
      <c r="CF31">
        <v>-32.61067741935484</v>
      </c>
      <c r="CG31">
        <v>999.9863870967741</v>
      </c>
      <c r="CH31">
        <v>0.9600028387096774</v>
      </c>
      <c r="CI31">
        <v>0.03999718387096775</v>
      </c>
      <c r="CJ31">
        <v>0</v>
      </c>
      <c r="CK31">
        <v>1.271935483870968</v>
      </c>
      <c r="CL31">
        <v>0</v>
      </c>
      <c r="CM31">
        <v>4640.445806451613</v>
      </c>
      <c r="CN31">
        <v>7946.816451612903</v>
      </c>
      <c r="CO31">
        <v>35.56606451612902</v>
      </c>
      <c r="CP31">
        <v>38.383</v>
      </c>
      <c r="CQ31">
        <v>36.68699999999998</v>
      </c>
      <c r="CR31">
        <v>37.754</v>
      </c>
      <c r="CS31">
        <v>36.31199999999999</v>
      </c>
      <c r="CT31">
        <v>959.9903225806452</v>
      </c>
      <c r="CU31">
        <v>39.99612903225807</v>
      </c>
      <c r="CV31">
        <v>0</v>
      </c>
      <c r="CW31">
        <v>1751823918.9</v>
      </c>
      <c r="CX31">
        <v>0</v>
      </c>
      <c r="CY31">
        <v>1751823920.5</v>
      </c>
      <c r="CZ31" t="s">
        <v>400</v>
      </c>
      <c r="DA31">
        <v>1751823920.5</v>
      </c>
      <c r="DB31">
        <v>1751823307.5</v>
      </c>
      <c r="DC31">
        <v>14</v>
      </c>
      <c r="DD31">
        <v>0.032</v>
      </c>
      <c r="DE31">
        <v>0.002</v>
      </c>
      <c r="DF31">
        <v>0.524</v>
      </c>
      <c r="DG31">
        <v>-0.185</v>
      </c>
      <c r="DH31">
        <v>405</v>
      </c>
      <c r="DI31">
        <v>0</v>
      </c>
      <c r="DJ31">
        <v>0.33</v>
      </c>
      <c r="DK31">
        <v>0.09</v>
      </c>
      <c r="DL31">
        <v>-2.673772</v>
      </c>
      <c r="DM31">
        <v>0.115396998123833</v>
      </c>
      <c r="DN31">
        <v>0.02091866190749303</v>
      </c>
      <c r="DO31">
        <v>0</v>
      </c>
      <c r="DP31">
        <v>2.237846</v>
      </c>
      <c r="DQ31">
        <v>-0.5450485553470935</v>
      </c>
      <c r="DR31">
        <v>0.05356924611192505</v>
      </c>
      <c r="DS31">
        <v>0</v>
      </c>
      <c r="DT31">
        <v>0</v>
      </c>
      <c r="DU31">
        <v>2</v>
      </c>
      <c r="DV31" t="s">
        <v>365</v>
      </c>
      <c r="DW31">
        <v>3.44159</v>
      </c>
      <c r="DX31">
        <v>2.78093</v>
      </c>
      <c r="DY31">
        <v>0.09584239999999999</v>
      </c>
      <c r="DZ31">
        <v>0.09633650000000001</v>
      </c>
      <c r="EA31">
        <v>0.0211449</v>
      </c>
      <c r="EB31">
        <v>0.00342253</v>
      </c>
      <c r="EC31">
        <v>27028.6</v>
      </c>
      <c r="ED31">
        <v>30738.7</v>
      </c>
      <c r="EE31">
        <v>29053.2</v>
      </c>
      <c r="EF31">
        <v>34622.1</v>
      </c>
      <c r="EG31">
        <v>32914.7</v>
      </c>
      <c r="EH31">
        <v>42698.9</v>
      </c>
      <c r="EI31">
        <v>35767.2</v>
      </c>
      <c r="EJ31">
        <v>45667.5</v>
      </c>
      <c r="EK31">
        <v>2.40947</v>
      </c>
      <c r="EL31">
        <v>2.0966</v>
      </c>
      <c r="EM31">
        <v>0.07232280000000001</v>
      </c>
      <c r="EN31">
        <v>0</v>
      </c>
      <c r="EO31">
        <v>29.4859</v>
      </c>
      <c r="EP31">
        <v>999.9</v>
      </c>
      <c r="EQ31">
        <v>49</v>
      </c>
      <c r="ER31">
        <v>29.3</v>
      </c>
      <c r="ES31">
        <v>19.7816</v>
      </c>
      <c r="ET31">
        <v>62.1701</v>
      </c>
      <c r="EU31">
        <v>25.6571</v>
      </c>
      <c r="EV31">
        <v>2</v>
      </c>
      <c r="EW31">
        <v>0.107693</v>
      </c>
      <c r="EX31">
        <v>0</v>
      </c>
      <c r="EY31">
        <v>20.2915</v>
      </c>
      <c r="EZ31">
        <v>5.21115</v>
      </c>
      <c r="FA31">
        <v>11.974</v>
      </c>
      <c r="FB31">
        <v>4.98995</v>
      </c>
      <c r="FC31">
        <v>3.272</v>
      </c>
      <c r="FD31">
        <v>3847.8</v>
      </c>
      <c r="FE31">
        <v>9999</v>
      </c>
      <c r="FF31">
        <v>9999</v>
      </c>
      <c r="FG31">
        <v>999.9</v>
      </c>
      <c r="FH31">
        <v>4.97262</v>
      </c>
      <c r="FI31">
        <v>1.86307</v>
      </c>
      <c r="FJ31">
        <v>1.86493</v>
      </c>
      <c r="FK31">
        <v>1.8634</v>
      </c>
      <c r="FL31">
        <v>1.86329</v>
      </c>
      <c r="FM31">
        <v>1.86386</v>
      </c>
      <c r="FN31">
        <v>1.86035</v>
      </c>
      <c r="FO31">
        <v>1.8631</v>
      </c>
      <c r="FP31">
        <v>0</v>
      </c>
      <c r="FQ31">
        <v>0</v>
      </c>
      <c r="FR31">
        <v>0</v>
      </c>
      <c r="FS31">
        <v>0</v>
      </c>
      <c r="FT31" t="s">
        <v>356</v>
      </c>
      <c r="FU31" t="s">
        <v>357</v>
      </c>
      <c r="FV31" t="s">
        <v>358</v>
      </c>
      <c r="FW31" t="s">
        <v>358</v>
      </c>
      <c r="FX31" t="s">
        <v>358</v>
      </c>
      <c r="FY31" t="s">
        <v>358</v>
      </c>
      <c r="FZ31">
        <v>0</v>
      </c>
      <c r="GA31">
        <v>100</v>
      </c>
      <c r="GB31">
        <v>100</v>
      </c>
      <c r="GC31">
        <v>0.524</v>
      </c>
      <c r="GD31">
        <v>-0.2103</v>
      </c>
      <c r="GE31">
        <v>0.7751715570573727</v>
      </c>
      <c r="GF31">
        <v>-0.001033730503750798</v>
      </c>
      <c r="GG31">
        <v>9.120241388950126E-07</v>
      </c>
      <c r="GH31">
        <v>-2.246115299815222E-10</v>
      </c>
      <c r="GI31">
        <v>-0.1757249285518827</v>
      </c>
      <c r="GJ31">
        <v>-0.01814858093373864</v>
      </c>
      <c r="GK31">
        <v>0.002091959988359369</v>
      </c>
      <c r="GL31">
        <v>-1.90871700788604E-05</v>
      </c>
      <c r="GM31">
        <v>2</v>
      </c>
      <c r="GN31">
        <v>2210</v>
      </c>
      <c r="GO31">
        <v>1</v>
      </c>
      <c r="GP31">
        <v>26</v>
      </c>
      <c r="GQ31">
        <v>1.2</v>
      </c>
      <c r="GR31">
        <v>9.9</v>
      </c>
      <c r="GS31">
        <v>1.25977</v>
      </c>
      <c r="GT31">
        <v>2.40601</v>
      </c>
      <c r="GU31">
        <v>2.34741</v>
      </c>
      <c r="GV31">
        <v>2.67456</v>
      </c>
      <c r="GW31">
        <v>2.39868</v>
      </c>
      <c r="GX31">
        <v>2.28882</v>
      </c>
      <c r="GY31">
        <v>34.9444</v>
      </c>
      <c r="GZ31">
        <v>16.0496</v>
      </c>
      <c r="HA31">
        <v>18</v>
      </c>
      <c r="HB31">
        <v>791.543</v>
      </c>
      <c r="HC31">
        <v>594.528</v>
      </c>
      <c r="HD31">
        <v>30.0923</v>
      </c>
      <c r="HE31">
        <v>29.124</v>
      </c>
      <c r="HF31">
        <v>30.0006</v>
      </c>
      <c r="HG31">
        <v>28.8986</v>
      </c>
      <c r="HH31">
        <v>28.857</v>
      </c>
      <c r="HI31">
        <v>25.2522</v>
      </c>
      <c r="HJ31">
        <v>100</v>
      </c>
      <c r="HK31">
        <v>0</v>
      </c>
      <c r="HL31">
        <v>-999.9</v>
      </c>
      <c r="HM31">
        <v>405</v>
      </c>
      <c r="HN31">
        <v>0</v>
      </c>
      <c r="HO31">
        <v>99.7565</v>
      </c>
      <c r="HP31">
        <v>99.86750000000001</v>
      </c>
    </row>
    <row r="32" spans="1:224">
      <c r="A32">
        <v>16</v>
      </c>
      <c r="B32">
        <v>1751823997.5</v>
      </c>
      <c r="C32">
        <v>1610.900000095367</v>
      </c>
      <c r="D32" t="s">
        <v>401</v>
      </c>
      <c r="E32" t="s">
        <v>402</v>
      </c>
      <c r="F32">
        <v>15</v>
      </c>
      <c r="G32">
        <v>1751823989.5</v>
      </c>
      <c r="H32">
        <f>(I32)/1000</f>
        <v>0</v>
      </c>
      <c r="I32">
        <f>IF(BD32, AL32, AF32)</f>
        <v>0</v>
      </c>
      <c r="J32">
        <f>IF(BD32, AG32, AE32)</f>
        <v>0</v>
      </c>
      <c r="K32">
        <f>BF32 - IF(AS32&gt;1, J32*AZ32*100.0/(AU32), 0)</f>
        <v>0</v>
      </c>
      <c r="L32">
        <f>((R32-H32/2)*K32-J32)/(R32+H32/2)</f>
        <v>0</v>
      </c>
      <c r="M32">
        <f>L32*(BM32+BN32)/1000.0</f>
        <v>0</v>
      </c>
      <c r="N32">
        <f>(BF32 - IF(AS32&gt;1, J32*AZ32*100.0/(AU32), 0))*(BM32+BN32)/1000.0</f>
        <v>0</v>
      </c>
      <c r="O32">
        <f>2.0/((1/Q32-1/P32)+SIGN(Q32)*SQRT((1/Q32-1/P32)*(1/Q32-1/P32) + 4*BA32/((BA32+1)*(BA32+1))*(2*1/Q32*1/P32-1/P32*1/P32)))</f>
        <v>0</v>
      </c>
      <c r="P32">
        <f>IF(LEFT(BB32,1)&lt;&gt;"0",IF(LEFT(BB32,1)="1",3.0,BC32),$D$5+$E$5*(BT32*BM32/($K$5*1000))+$F$5*(BT32*BM32/($K$5*1000))*MAX(MIN(AZ32,$J$5),$I$5)*MAX(MIN(AZ32,$J$5),$I$5)+$G$5*MAX(MIN(AZ32,$J$5),$I$5)*(BT32*BM32/($K$5*1000))+$H$5*(BT32*BM32/($K$5*1000))*(BT32*BM32/($K$5*1000)))</f>
        <v>0</v>
      </c>
      <c r="Q32">
        <f>H32*(1000-(1000*0.61365*exp(17.502*U32/(240.97+U32))/(BM32+BN32)+BH32)/2)/(1000*0.61365*exp(17.502*U32/(240.97+U32))/(BM32+BN32)-BH32)</f>
        <v>0</v>
      </c>
      <c r="R32">
        <f>1/((BA32+1)/(O32/1.6)+1/(P32/1.37)) + BA32/((BA32+1)/(O32/1.6) + BA32/(P32/1.37))</f>
        <v>0</v>
      </c>
      <c r="S32">
        <f>(AV32*AY32)</f>
        <v>0</v>
      </c>
      <c r="T32">
        <f>(BO32+(S32+2*0.95*5.67E-8*(((BO32+$B$7)+273)^4-(BO32+273)^4)-44100*H32)/(1.84*29.3*P32+8*0.95*5.67E-8*(BO32+273)^3))</f>
        <v>0</v>
      </c>
      <c r="U32">
        <f>($C$7*BP32+$D$7*BQ32+$E$7*T32)</f>
        <v>0</v>
      </c>
      <c r="V32">
        <f>0.61365*exp(17.502*U32/(240.97+U32))</f>
        <v>0</v>
      </c>
      <c r="W32">
        <f>(X32/Y32*100)</f>
        <v>0</v>
      </c>
      <c r="X32">
        <f>BH32*(BM32+BN32)/1000</f>
        <v>0</v>
      </c>
      <c r="Y32">
        <f>0.61365*exp(17.502*BO32/(240.97+BO32))</f>
        <v>0</v>
      </c>
      <c r="Z32">
        <f>(V32-BH32*(BM32+BN32)/1000)</f>
        <v>0</v>
      </c>
      <c r="AA32">
        <f>(-H32*44100)</f>
        <v>0</v>
      </c>
      <c r="AB32">
        <f>2*29.3*P32*0.92*(BO32-U32)</f>
        <v>0</v>
      </c>
      <c r="AC32">
        <f>2*0.95*5.67E-8*(((BO32+$B$7)+273)^4-(U32+273)^4)</f>
        <v>0</v>
      </c>
      <c r="AD32">
        <f>S32+AC32+AA32+AB32</f>
        <v>0</v>
      </c>
      <c r="AE32">
        <f>BL32*AS32*(BG32-BF32*(1000-AS32*BI32)/(1000-AS32*BH32))/(100*AZ32)</f>
        <v>0</v>
      </c>
      <c r="AF32">
        <f>1000*BL32*AS32*(BH32-BI32)/(100*AZ32*(1000-AS32*BH32))</f>
        <v>0</v>
      </c>
      <c r="AG32">
        <f>(AH32 - AI32 - BM32*1E3/(8.314*(BO32+273.15)) * AK32/BL32 * AJ32) * BL32/(100*AZ32) * (1000 - BI32)/1000</f>
        <v>0</v>
      </c>
      <c r="AH32">
        <v>405.1430592222121</v>
      </c>
      <c r="AI32">
        <v>403.6695393939394</v>
      </c>
      <c r="AJ32">
        <v>0.006270500469387472</v>
      </c>
      <c r="AK32">
        <v>66.94063957662426</v>
      </c>
      <c r="AL32">
        <f>(AN32 - AM32 + BM32*1E3/(8.314*(BO32+273.15)) * AP32/BL32 * AO32) * BL32/(100*AZ32) * 1000/(1000 - AN32)</f>
        <v>0</v>
      </c>
      <c r="AM32">
        <v>0.4009577868993648</v>
      </c>
      <c r="AN32">
        <v>1.854944969696969</v>
      </c>
      <c r="AO32">
        <v>-0.008180355067387084</v>
      </c>
      <c r="AP32">
        <v>79.90732654405734</v>
      </c>
      <c r="AQ32">
        <v>128</v>
      </c>
      <c r="AR32">
        <v>16</v>
      </c>
      <c r="AS32">
        <f>IF(AQ32*$H$13&gt;=AU32,1.0,(AU32/(AU32-AQ32*$H$13)))</f>
        <v>0</v>
      </c>
      <c r="AT32">
        <f>(AS32-1)*100</f>
        <v>0</v>
      </c>
      <c r="AU32">
        <f>MAX(0,($B$13+$C$13*BT32)/(1+$D$13*BT32)*BM32/(BO32+273)*$E$13)</f>
        <v>0</v>
      </c>
      <c r="AV32">
        <f>$B$11*BU32+$C$11*BV32+$F$11*CG32*(1-CJ32)</f>
        <v>0</v>
      </c>
      <c r="AW32">
        <f>AV32*AX32</f>
        <v>0</v>
      </c>
      <c r="AX32">
        <f>($B$11*$D$9+$C$11*$D$9+$F$11*((CT32+CL32)/MAX(CT32+CL32+CU32, 0.1)*$I$9+CU32/MAX(CT32+CL32+CU32, 0.1)*$J$9))/($B$11+$C$11+$F$11)</f>
        <v>0</v>
      </c>
      <c r="AY32">
        <f>($B$11*$K$9+$C$11*$K$9+$F$11*((CT32+CL32)/MAX(CT32+CL32+CU32, 0.1)*$P$9+CU32/MAX(CT32+CL32+CU32, 0.1)*$Q$9))/($B$11+$C$11+$F$11)</f>
        <v>0</v>
      </c>
      <c r="AZ32">
        <v>6</v>
      </c>
      <c r="BA32">
        <v>0.5</v>
      </c>
      <c r="BB32" t="s">
        <v>353</v>
      </c>
      <c r="BC32">
        <v>2</v>
      </c>
      <c r="BD32" t="b">
        <v>0</v>
      </c>
      <c r="BE32">
        <v>1751823989.5</v>
      </c>
      <c r="BF32">
        <v>402.9324516129032</v>
      </c>
      <c r="BG32">
        <v>404.9727096774193</v>
      </c>
      <c r="BH32">
        <v>1.95867935483871</v>
      </c>
      <c r="BI32">
        <v>0.4006490322580645</v>
      </c>
      <c r="BJ32">
        <v>402.3654516129032</v>
      </c>
      <c r="BK32">
        <v>2.14367935483871</v>
      </c>
      <c r="BL32">
        <v>800.0082580645161</v>
      </c>
      <c r="BM32">
        <v>101.3598064516129</v>
      </c>
      <c r="BN32">
        <v>0.09999370000000002</v>
      </c>
      <c r="BO32">
        <v>30.74174838709678</v>
      </c>
      <c r="BP32">
        <v>31.10204193548387</v>
      </c>
      <c r="BQ32">
        <v>999.9000000000003</v>
      </c>
      <c r="BR32">
        <v>0</v>
      </c>
      <c r="BS32">
        <v>0</v>
      </c>
      <c r="BT32">
        <v>10003.06290322581</v>
      </c>
      <c r="BU32">
        <v>0</v>
      </c>
      <c r="BV32">
        <v>0.001554524516129032</v>
      </c>
      <c r="BW32">
        <v>-2.082890967741935</v>
      </c>
      <c r="BX32">
        <v>403.6724193548388</v>
      </c>
      <c r="BY32">
        <v>405.1350322580645</v>
      </c>
      <c r="BZ32">
        <v>1.537833548387097</v>
      </c>
      <c r="CA32">
        <v>404.9727096774193</v>
      </c>
      <c r="CB32">
        <v>0.4006490322580645</v>
      </c>
      <c r="CC32">
        <v>0.1964842903225807</v>
      </c>
      <c r="CD32">
        <v>0.04060972903225807</v>
      </c>
      <c r="CE32">
        <v>-14.72753548387097</v>
      </c>
      <c r="CF32">
        <v>-32.36487419354838</v>
      </c>
      <c r="CG32">
        <v>1000.013290322581</v>
      </c>
      <c r="CH32">
        <v>0.9599913225806452</v>
      </c>
      <c r="CI32">
        <v>0.04000837419354839</v>
      </c>
      <c r="CJ32">
        <v>0</v>
      </c>
      <c r="CK32">
        <v>1.140806451612903</v>
      </c>
      <c r="CL32">
        <v>0</v>
      </c>
      <c r="CM32">
        <v>6442.173225806452</v>
      </c>
      <c r="CN32">
        <v>7946.996451612905</v>
      </c>
      <c r="CO32">
        <v>35.75399999999999</v>
      </c>
      <c r="CP32">
        <v>38.625</v>
      </c>
      <c r="CQ32">
        <v>36.875</v>
      </c>
      <c r="CR32">
        <v>38.00399999999999</v>
      </c>
      <c r="CS32">
        <v>36.50399999999999</v>
      </c>
      <c r="CT32">
        <v>960.0035483870965</v>
      </c>
      <c r="CU32">
        <v>40.01</v>
      </c>
      <c r="CV32">
        <v>0</v>
      </c>
      <c r="CW32">
        <v>1751824016.1</v>
      </c>
      <c r="CX32">
        <v>0</v>
      </c>
      <c r="CY32">
        <v>1751824024.5</v>
      </c>
      <c r="CZ32" t="s">
        <v>403</v>
      </c>
      <c r="DA32">
        <v>1751824018</v>
      </c>
      <c r="DB32">
        <v>1751824024.5</v>
      </c>
      <c r="DC32">
        <v>15</v>
      </c>
      <c r="DD32">
        <v>0.043</v>
      </c>
      <c r="DE32">
        <v>0</v>
      </c>
      <c r="DF32">
        <v>0.5669999999999999</v>
      </c>
      <c r="DG32">
        <v>-0.185</v>
      </c>
      <c r="DH32">
        <v>405</v>
      </c>
      <c r="DI32">
        <v>0</v>
      </c>
      <c r="DJ32">
        <v>0.3</v>
      </c>
      <c r="DK32">
        <v>0.07000000000000001</v>
      </c>
      <c r="DL32">
        <v>-2.07118825</v>
      </c>
      <c r="DM32">
        <v>-0.1216832645403352</v>
      </c>
      <c r="DN32">
        <v>0.03315941675357848</v>
      </c>
      <c r="DO32">
        <v>0</v>
      </c>
      <c r="DP32">
        <v>1.59928625</v>
      </c>
      <c r="DQ32">
        <v>-1.192582851782367</v>
      </c>
      <c r="DR32">
        <v>0.1192888285357749</v>
      </c>
      <c r="DS32">
        <v>0</v>
      </c>
      <c r="DT32">
        <v>0</v>
      </c>
      <c r="DU32">
        <v>2</v>
      </c>
      <c r="DV32" t="s">
        <v>365</v>
      </c>
      <c r="DW32">
        <v>3.44161</v>
      </c>
      <c r="DX32">
        <v>2.78079</v>
      </c>
      <c r="DY32">
        <v>0.0959045</v>
      </c>
      <c r="DZ32">
        <v>0.09632209999999999</v>
      </c>
      <c r="EA32">
        <v>0.0161724</v>
      </c>
      <c r="EB32">
        <v>0.0035014</v>
      </c>
      <c r="EC32">
        <v>27020.6</v>
      </c>
      <c r="ED32">
        <v>30732.8</v>
      </c>
      <c r="EE32">
        <v>29047.1</v>
      </c>
      <c r="EF32">
        <v>34615.5</v>
      </c>
      <c r="EG32">
        <v>33075.8</v>
      </c>
      <c r="EH32">
        <v>42687.1</v>
      </c>
      <c r="EI32">
        <v>35760.3</v>
      </c>
      <c r="EJ32">
        <v>45658.7</v>
      </c>
      <c r="EK32">
        <v>2.26605</v>
      </c>
      <c r="EL32">
        <v>2.09223</v>
      </c>
      <c r="EM32">
        <v>0.08829679999999999</v>
      </c>
      <c r="EN32">
        <v>0</v>
      </c>
      <c r="EO32">
        <v>29.707</v>
      </c>
      <c r="EP32">
        <v>999.9</v>
      </c>
      <c r="EQ32">
        <v>48.4</v>
      </c>
      <c r="ER32">
        <v>29.6</v>
      </c>
      <c r="ES32">
        <v>19.8823</v>
      </c>
      <c r="ET32">
        <v>62.0701</v>
      </c>
      <c r="EU32">
        <v>25.6691</v>
      </c>
      <c r="EV32">
        <v>2</v>
      </c>
      <c r="EW32">
        <v>0.117627</v>
      </c>
      <c r="EX32">
        <v>0</v>
      </c>
      <c r="EY32">
        <v>20.2911</v>
      </c>
      <c r="EZ32">
        <v>5.21055</v>
      </c>
      <c r="FA32">
        <v>11.974</v>
      </c>
      <c r="FB32">
        <v>4.9896</v>
      </c>
      <c r="FC32">
        <v>3.272</v>
      </c>
      <c r="FD32">
        <v>3850.5</v>
      </c>
      <c r="FE32">
        <v>9999</v>
      </c>
      <c r="FF32">
        <v>9999</v>
      </c>
      <c r="FG32">
        <v>999.9</v>
      </c>
      <c r="FH32">
        <v>4.97262</v>
      </c>
      <c r="FI32">
        <v>1.8631</v>
      </c>
      <c r="FJ32">
        <v>1.86493</v>
      </c>
      <c r="FK32">
        <v>1.86339</v>
      </c>
      <c r="FL32">
        <v>1.86333</v>
      </c>
      <c r="FM32">
        <v>1.86386</v>
      </c>
      <c r="FN32">
        <v>1.86035</v>
      </c>
      <c r="FO32">
        <v>1.8631</v>
      </c>
      <c r="FP32">
        <v>0</v>
      </c>
      <c r="FQ32">
        <v>0</v>
      </c>
      <c r="FR32">
        <v>0</v>
      </c>
      <c r="FS32">
        <v>0</v>
      </c>
      <c r="FT32" t="s">
        <v>356</v>
      </c>
      <c r="FU32" t="s">
        <v>357</v>
      </c>
      <c r="FV32" t="s">
        <v>358</v>
      </c>
      <c r="FW32" t="s">
        <v>358</v>
      </c>
      <c r="FX32" t="s">
        <v>358</v>
      </c>
      <c r="FY32" t="s">
        <v>358</v>
      </c>
      <c r="FZ32">
        <v>0</v>
      </c>
      <c r="GA32">
        <v>100</v>
      </c>
      <c r="GB32">
        <v>100</v>
      </c>
      <c r="GC32">
        <v>0.5669999999999999</v>
      </c>
      <c r="GD32">
        <v>-0.185</v>
      </c>
      <c r="GE32">
        <v>0.8073493581505514</v>
      </c>
      <c r="GF32">
        <v>-0.001033730503750798</v>
      </c>
      <c r="GG32">
        <v>9.120241388950126E-07</v>
      </c>
      <c r="GH32">
        <v>-2.246115299815222E-10</v>
      </c>
      <c r="GI32">
        <v>-0.1757249285518827</v>
      </c>
      <c r="GJ32">
        <v>-0.01814858093373864</v>
      </c>
      <c r="GK32">
        <v>0.002091959988359369</v>
      </c>
      <c r="GL32">
        <v>-1.90871700788604E-05</v>
      </c>
      <c r="GM32">
        <v>2</v>
      </c>
      <c r="GN32">
        <v>2210</v>
      </c>
      <c r="GO32">
        <v>1</v>
      </c>
      <c r="GP32">
        <v>26</v>
      </c>
      <c r="GQ32">
        <v>1.3</v>
      </c>
      <c r="GR32">
        <v>11.5</v>
      </c>
      <c r="GS32">
        <v>1.25977</v>
      </c>
      <c r="GT32">
        <v>2.40845</v>
      </c>
      <c r="GU32">
        <v>2.34741</v>
      </c>
      <c r="GV32">
        <v>2.67334</v>
      </c>
      <c r="GW32">
        <v>2.39868</v>
      </c>
      <c r="GX32">
        <v>2.26318</v>
      </c>
      <c r="GY32">
        <v>35.1516</v>
      </c>
      <c r="GZ32">
        <v>16.0408</v>
      </c>
      <c r="HA32">
        <v>18</v>
      </c>
      <c r="HB32">
        <v>676.372</v>
      </c>
      <c r="HC32">
        <v>592.432</v>
      </c>
      <c r="HD32">
        <v>30.2462</v>
      </c>
      <c r="HE32">
        <v>29.2606</v>
      </c>
      <c r="HF32">
        <v>30.0006</v>
      </c>
      <c r="HG32">
        <v>29.0243</v>
      </c>
      <c r="HH32">
        <v>28.9801</v>
      </c>
      <c r="HI32">
        <v>25.2596</v>
      </c>
      <c r="HJ32">
        <v>100</v>
      </c>
      <c r="HK32">
        <v>0</v>
      </c>
      <c r="HL32">
        <v>-999.9</v>
      </c>
      <c r="HM32">
        <v>405</v>
      </c>
      <c r="HN32">
        <v>0</v>
      </c>
      <c r="HO32">
        <v>99.73650000000001</v>
      </c>
      <c r="HP32">
        <v>99.8481</v>
      </c>
    </row>
    <row r="33" spans="1:224">
      <c r="A33">
        <v>17</v>
      </c>
      <c r="B33">
        <v>1751824096</v>
      </c>
      <c r="C33">
        <v>1709.400000095367</v>
      </c>
      <c r="D33" t="s">
        <v>404</v>
      </c>
      <c r="E33" t="s">
        <v>405</v>
      </c>
      <c r="F33">
        <v>15</v>
      </c>
      <c r="G33">
        <v>1751824088.25</v>
      </c>
      <c r="H33">
        <f>(I33)/1000</f>
        <v>0</v>
      </c>
      <c r="I33">
        <f>IF(BD33, AL33, AF33)</f>
        <v>0</v>
      </c>
      <c r="J33">
        <f>IF(BD33, AG33, AE33)</f>
        <v>0</v>
      </c>
      <c r="K33">
        <f>BF33 - IF(AS33&gt;1, J33*AZ33*100.0/(AU33), 0)</f>
        <v>0</v>
      </c>
      <c r="L33">
        <f>((R33-H33/2)*K33-J33)/(R33+H33/2)</f>
        <v>0</v>
      </c>
      <c r="M33">
        <f>L33*(BM33+BN33)/1000.0</f>
        <v>0</v>
      </c>
      <c r="N33">
        <f>(BF33 - IF(AS33&gt;1, J33*AZ33*100.0/(AU33), 0))*(BM33+BN33)/1000.0</f>
        <v>0</v>
      </c>
      <c r="O33">
        <f>2.0/((1/Q33-1/P33)+SIGN(Q33)*SQRT((1/Q33-1/P33)*(1/Q33-1/P33) + 4*BA33/((BA33+1)*(BA33+1))*(2*1/Q33*1/P33-1/P33*1/P33)))</f>
        <v>0</v>
      </c>
      <c r="P33">
        <f>IF(LEFT(BB33,1)&lt;&gt;"0",IF(LEFT(BB33,1)="1",3.0,BC33),$D$5+$E$5*(BT33*BM33/($K$5*1000))+$F$5*(BT33*BM33/($K$5*1000))*MAX(MIN(AZ33,$J$5),$I$5)*MAX(MIN(AZ33,$J$5),$I$5)+$G$5*MAX(MIN(AZ33,$J$5),$I$5)*(BT33*BM33/($K$5*1000))+$H$5*(BT33*BM33/($K$5*1000))*(BT33*BM33/($K$5*1000)))</f>
        <v>0</v>
      </c>
      <c r="Q33">
        <f>H33*(1000-(1000*0.61365*exp(17.502*U33/(240.97+U33))/(BM33+BN33)+BH33)/2)/(1000*0.61365*exp(17.502*U33/(240.97+U33))/(BM33+BN33)-BH33)</f>
        <v>0</v>
      </c>
      <c r="R33">
        <f>1/((BA33+1)/(O33/1.6)+1/(P33/1.37)) + BA33/((BA33+1)/(O33/1.6) + BA33/(P33/1.37))</f>
        <v>0</v>
      </c>
      <c r="S33">
        <f>(AV33*AY33)</f>
        <v>0</v>
      </c>
      <c r="T33">
        <f>(BO33+(S33+2*0.95*5.67E-8*(((BO33+$B$7)+273)^4-(BO33+273)^4)-44100*H33)/(1.84*29.3*P33+8*0.95*5.67E-8*(BO33+273)^3))</f>
        <v>0</v>
      </c>
      <c r="U33">
        <f>($C$7*BP33+$D$7*BQ33+$E$7*T33)</f>
        <v>0</v>
      </c>
      <c r="V33">
        <f>0.61365*exp(17.502*U33/(240.97+U33))</f>
        <v>0</v>
      </c>
      <c r="W33">
        <f>(X33/Y33*100)</f>
        <v>0</v>
      </c>
      <c r="X33">
        <f>BH33*(BM33+BN33)/1000</f>
        <v>0</v>
      </c>
      <c r="Y33">
        <f>0.61365*exp(17.502*BO33/(240.97+BO33))</f>
        <v>0</v>
      </c>
      <c r="Z33">
        <f>(V33-BH33*(BM33+BN33)/1000)</f>
        <v>0</v>
      </c>
      <c r="AA33">
        <f>(-H33*44100)</f>
        <v>0</v>
      </c>
      <c r="AB33">
        <f>2*29.3*P33*0.92*(BO33-U33)</f>
        <v>0</v>
      </c>
      <c r="AC33">
        <f>2*0.95*5.67E-8*(((BO33+$B$7)+273)^4-(U33+273)^4)</f>
        <v>0</v>
      </c>
      <c r="AD33">
        <f>S33+AC33+AA33+AB33</f>
        <v>0</v>
      </c>
      <c r="AE33">
        <f>BL33*AS33*(BG33-BF33*(1000-AS33*BI33)/(1000-AS33*BH33))/(100*AZ33)</f>
        <v>0</v>
      </c>
      <c r="AF33">
        <f>1000*BL33*AS33*(BH33-BI33)/(100*AZ33*(1000-AS33*BH33))</f>
        <v>0</v>
      </c>
      <c r="AG33">
        <f>(AH33 - AI33 - BM33*1E3/(8.314*(BO33+273.15)) * AK33/BL33 * AJ33) * BL33/(100*AZ33) * (1000 - BI33)/1000</f>
        <v>0</v>
      </c>
      <c r="AH33">
        <v>405.1769842984288</v>
      </c>
      <c r="AI33">
        <v>403.8482363636361</v>
      </c>
      <c r="AJ33">
        <v>0.007863610230437459</v>
      </c>
      <c r="AK33">
        <v>66.94139035478064</v>
      </c>
      <c r="AL33">
        <f>(AN33 - AM33 + BM33*1E3/(8.314*(BO33+273.15)) * AP33/BL33 * AO33) * BL33/(100*AZ33) * 1000/(1000 - AN33)</f>
        <v>0</v>
      </c>
      <c r="AM33">
        <v>0.4081150275623361</v>
      </c>
      <c r="AN33">
        <v>1.666567818181819</v>
      </c>
      <c r="AO33">
        <v>-2.474331579949051E-05</v>
      </c>
      <c r="AP33">
        <v>79.93880500101443</v>
      </c>
      <c r="AQ33">
        <v>121</v>
      </c>
      <c r="AR33">
        <v>15</v>
      </c>
      <c r="AS33">
        <f>IF(AQ33*$H$13&gt;=AU33,1.0,(AU33/(AU33-AQ33*$H$13)))</f>
        <v>0</v>
      </c>
      <c r="AT33">
        <f>(AS33-1)*100</f>
        <v>0</v>
      </c>
      <c r="AU33">
        <f>MAX(0,($B$13+$C$13*BT33)/(1+$D$13*BT33)*BM33/(BO33+273)*$E$13)</f>
        <v>0</v>
      </c>
      <c r="AV33">
        <f>$B$11*BU33+$C$11*BV33+$F$11*CG33*(1-CJ33)</f>
        <v>0</v>
      </c>
      <c r="AW33">
        <f>AV33*AX33</f>
        <v>0</v>
      </c>
      <c r="AX33">
        <f>($B$11*$D$9+$C$11*$D$9+$F$11*((CT33+CL33)/MAX(CT33+CL33+CU33, 0.1)*$I$9+CU33/MAX(CT33+CL33+CU33, 0.1)*$J$9))/($B$11+$C$11+$F$11)</f>
        <v>0</v>
      </c>
      <c r="AY33">
        <f>($B$11*$K$9+$C$11*$K$9+$F$11*((CT33+CL33)/MAX(CT33+CL33+CU33, 0.1)*$P$9+CU33/MAX(CT33+CL33+CU33, 0.1)*$Q$9))/($B$11+$C$11+$F$11)</f>
        <v>0</v>
      </c>
      <c r="AZ33">
        <v>6</v>
      </c>
      <c r="BA33">
        <v>0.5</v>
      </c>
      <c r="BB33" t="s">
        <v>353</v>
      </c>
      <c r="BC33">
        <v>2</v>
      </c>
      <c r="BD33" t="b">
        <v>0</v>
      </c>
      <c r="BE33">
        <v>1751824088.25</v>
      </c>
      <c r="BF33">
        <v>403.0169</v>
      </c>
      <c r="BG33">
        <v>404.9913</v>
      </c>
      <c r="BH33">
        <v>1.671199333333333</v>
      </c>
      <c r="BI33">
        <v>0.4076569</v>
      </c>
      <c r="BJ33">
        <v>402.5449</v>
      </c>
      <c r="BK33">
        <v>1.873242666666667</v>
      </c>
      <c r="BL33">
        <v>800.0060666666667</v>
      </c>
      <c r="BM33">
        <v>101.3569</v>
      </c>
      <c r="BN33">
        <v>0.1002865566666667</v>
      </c>
      <c r="BO33">
        <v>30.88763000000001</v>
      </c>
      <c r="BP33">
        <v>31.25172333333333</v>
      </c>
      <c r="BQ33">
        <v>999.9000000000002</v>
      </c>
      <c r="BR33">
        <v>0</v>
      </c>
      <c r="BS33">
        <v>0</v>
      </c>
      <c r="BT33">
        <v>9996.374666666667</v>
      </c>
      <c r="BU33">
        <v>0</v>
      </c>
      <c r="BV33">
        <v>0.00152894</v>
      </c>
      <c r="BW33">
        <v>-1.879222333333333</v>
      </c>
      <c r="BX33">
        <v>403.7868666666667</v>
      </c>
      <c r="BY33">
        <v>405.1565333333334</v>
      </c>
      <c r="BZ33">
        <v>1.263542</v>
      </c>
      <c r="CA33">
        <v>404.9913</v>
      </c>
      <c r="CB33">
        <v>0.4076569</v>
      </c>
      <c r="CC33">
        <v>0.1693876</v>
      </c>
      <c r="CD33">
        <v>0.04131885666666667</v>
      </c>
      <c r="CE33">
        <v>-16.50867333333333</v>
      </c>
      <c r="CF33">
        <v>-32.18609666666666</v>
      </c>
      <c r="CG33">
        <v>999.9806333333335</v>
      </c>
      <c r="CH33">
        <v>0.9599856666666664</v>
      </c>
      <c r="CI33">
        <v>0.04001405000000001</v>
      </c>
      <c r="CJ33">
        <v>0</v>
      </c>
      <c r="CK33">
        <v>1.5645</v>
      </c>
      <c r="CL33">
        <v>0</v>
      </c>
      <c r="CM33">
        <v>6378.542333333334</v>
      </c>
      <c r="CN33">
        <v>7946.712666666667</v>
      </c>
      <c r="CO33">
        <v>35.812</v>
      </c>
      <c r="CP33">
        <v>38.68699999999999</v>
      </c>
      <c r="CQ33">
        <v>36.93699999999999</v>
      </c>
      <c r="CR33">
        <v>38.06199999999999</v>
      </c>
      <c r="CS33">
        <v>36.625</v>
      </c>
      <c r="CT33">
        <v>959.967</v>
      </c>
      <c r="CU33">
        <v>40.01033333333333</v>
      </c>
      <c r="CV33">
        <v>0</v>
      </c>
      <c r="CW33">
        <v>1751824114.5</v>
      </c>
      <c r="CX33">
        <v>0</v>
      </c>
      <c r="CY33">
        <v>1751824114</v>
      </c>
      <c r="CZ33" t="s">
        <v>406</v>
      </c>
      <c r="DA33">
        <v>1751824114</v>
      </c>
      <c r="DB33">
        <v>1751824024.5</v>
      </c>
      <c r="DC33">
        <v>16</v>
      </c>
      <c r="DD33">
        <v>-0.094</v>
      </c>
      <c r="DE33">
        <v>0</v>
      </c>
      <c r="DF33">
        <v>0.472</v>
      </c>
      <c r="DG33">
        <v>-0.185</v>
      </c>
      <c r="DH33">
        <v>405</v>
      </c>
      <c r="DI33">
        <v>0</v>
      </c>
      <c r="DJ33">
        <v>0.26</v>
      </c>
      <c r="DK33">
        <v>0.07000000000000001</v>
      </c>
      <c r="DL33">
        <v>-1.88327025</v>
      </c>
      <c r="DM33">
        <v>0.1542106941838658</v>
      </c>
      <c r="DN33">
        <v>0.02643421121269747</v>
      </c>
      <c r="DO33">
        <v>0</v>
      </c>
      <c r="DP33">
        <v>1.2660095</v>
      </c>
      <c r="DQ33">
        <v>-0.04170033771106799</v>
      </c>
      <c r="DR33">
        <v>0.004054249591478054</v>
      </c>
      <c r="DS33">
        <v>1</v>
      </c>
      <c r="DT33">
        <v>1</v>
      </c>
      <c r="DU33">
        <v>2</v>
      </c>
      <c r="DV33" t="s">
        <v>355</v>
      </c>
      <c r="DW33">
        <v>3.44153</v>
      </c>
      <c r="DX33">
        <v>2.78074</v>
      </c>
      <c r="DY33">
        <v>0.09591619999999999</v>
      </c>
      <c r="DZ33">
        <v>0.09629020000000001</v>
      </c>
      <c r="EA33">
        <v>0.0148145</v>
      </c>
      <c r="EB33">
        <v>0.00355708</v>
      </c>
      <c r="EC33">
        <v>27017.7</v>
      </c>
      <c r="ED33">
        <v>30730.1</v>
      </c>
      <c r="EE33">
        <v>29044.7</v>
      </c>
      <c r="EF33">
        <v>34611.8</v>
      </c>
      <c r="EG33">
        <v>33118.8</v>
      </c>
      <c r="EH33">
        <v>42680</v>
      </c>
      <c r="EI33">
        <v>35757.4</v>
      </c>
      <c r="EJ33">
        <v>45653.7</v>
      </c>
      <c r="EK33">
        <v>2.2758</v>
      </c>
      <c r="EL33">
        <v>2.08995</v>
      </c>
      <c r="EM33">
        <v>0.0954829</v>
      </c>
      <c r="EN33">
        <v>0</v>
      </c>
      <c r="EO33">
        <v>29.7172</v>
      </c>
      <c r="EP33">
        <v>999.9</v>
      </c>
      <c r="EQ33">
        <v>47.8</v>
      </c>
      <c r="ER33">
        <v>29.8</v>
      </c>
      <c r="ES33">
        <v>19.863</v>
      </c>
      <c r="ET33">
        <v>61.3201</v>
      </c>
      <c r="EU33">
        <v>25.7252</v>
      </c>
      <c r="EV33">
        <v>2</v>
      </c>
      <c r="EW33">
        <v>0.123773</v>
      </c>
      <c r="EX33">
        <v>0</v>
      </c>
      <c r="EY33">
        <v>20.2917</v>
      </c>
      <c r="EZ33">
        <v>5.21115</v>
      </c>
      <c r="FA33">
        <v>11.974</v>
      </c>
      <c r="FB33">
        <v>4.9899</v>
      </c>
      <c r="FC33">
        <v>3.272</v>
      </c>
      <c r="FD33">
        <v>3853.2</v>
      </c>
      <c r="FE33">
        <v>9999</v>
      </c>
      <c r="FF33">
        <v>9999</v>
      </c>
      <c r="FG33">
        <v>999.9</v>
      </c>
      <c r="FH33">
        <v>4.97261</v>
      </c>
      <c r="FI33">
        <v>1.8631</v>
      </c>
      <c r="FJ33">
        <v>1.86493</v>
      </c>
      <c r="FK33">
        <v>1.8634</v>
      </c>
      <c r="FL33">
        <v>1.8634</v>
      </c>
      <c r="FM33">
        <v>1.86387</v>
      </c>
      <c r="FN33">
        <v>1.86035</v>
      </c>
      <c r="FO33">
        <v>1.86312</v>
      </c>
      <c r="FP33">
        <v>0</v>
      </c>
      <c r="FQ33">
        <v>0</v>
      </c>
      <c r="FR33">
        <v>0</v>
      </c>
      <c r="FS33">
        <v>0</v>
      </c>
      <c r="FT33" t="s">
        <v>356</v>
      </c>
      <c r="FU33" t="s">
        <v>357</v>
      </c>
      <c r="FV33" t="s">
        <v>358</v>
      </c>
      <c r="FW33" t="s">
        <v>358</v>
      </c>
      <c r="FX33" t="s">
        <v>358</v>
      </c>
      <c r="FY33" t="s">
        <v>358</v>
      </c>
      <c r="FZ33">
        <v>0</v>
      </c>
      <c r="GA33">
        <v>100</v>
      </c>
      <c r="GB33">
        <v>100</v>
      </c>
      <c r="GC33">
        <v>0.472</v>
      </c>
      <c r="GD33">
        <v>-0.202</v>
      </c>
      <c r="GE33">
        <v>0.8502873197887493</v>
      </c>
      <c r="GF33">
        <v>-0.001033730503750798</v>
      </c>
      <c r="GG33">
        <v>9.120241388950126E-07</v>
      </c>
      <c r="GH33">
        <v>-2.246115299815222E-10</v>
      </c>
      <c r="GI33">
        <v>-0.1752634552835202</v>
      </c>
      <c r="GJ33">
        <v>-0.01814858093373864</v>
      </c>
      <c r="GK33">
        <v>0.002091959988359369</v>
      </c>
      <c r="GL33">
        <v>-1.90871700788604E-05</v>
      </c>
      <c r="GM33">
        <v>2</v>
      </c>
      <c r="GN33">
        <v>2210</v>
      </c>
      <c r="GO33">
        <v>1</v>
      </c>
      <c r="GP33">
        <v>26</v>
      </c>
      <c r="GQ33">
        <v>1.3</v>
      </c>
      <c r="GR33">
        <v>1.2</v>
      </c>
      <c r="GS33">
        <v>1.25977</v>
      </c>
      <c r="GT33">
        <v>2.40723</v>
      </c>
      <c r="GU33">
        <v>2.34863</v>
      </c>
      <c r="GV33">
        <v>2.67212</v>
      </c>
      <c r="GW33">
        <v>2.39868</v>
      </c>
      <c r="GX33">
        <v>2.27905</v>
      </c>
      <c r="GY33">
        <v>35.3596</v>
      </c>
      <c r="GZ33">
        <v>16.0408</v>
      </c>
      <c r="HA33">
        <v>18</v>
      </c>
      <c r="HB33">
        <v>684.971</v>
      </c>
      <c r="HC33">
        <v>591.596</v>
      </c>
      <c r="HD33">
        <v>30.3915</v>
      </c>
      <c r="HE33">
        <v>29.3677</v>
      </c>
      <c r="HF33">
        <v>30</v>
      </c>
      <c r="HG33">
        <v>29.124</v>
      </c>
      <c r="HH33">
        <v>29.0691</v>
      </c>
      <c r="HI33">
        <v>25.2713</v>
      </c>
      <c r="HJ33">
        <v>100</v>
      </c>
      <c r="HK33">
        <v>0</v>
      </c>
      <c r="HL33">
        <v>-999.9</v>
      </c>
      <c r="HM33">
        <v>405</v>
      </c>
      <c r="HN33">
        <v>0</v>
      </c>
      <c r="HO33">
        <v>99.7285</v>
      </c>
      <c r="HP33">
        <v>99.8373</v>
      </c>
    </row>
    <row r="34" spans="1:224">
      <c r="A34">
        <v>18</v>
      </c>
      <c r="B34">
        <v>1751824273.5</v>
      </c>
      <c r="C34">
        <v>1886.900000095367</v>
      </c>
      <c r="D34" t="s">
        <v>407</v>
      </c>
      <c r="E34" t="s">
        <v>408</v>
      </c>
      <c r="F34">
        <v>15</v>
      </c>
      <c r="G34">
        <v>1751824265.75</v>
      </c>
      <c r="H34">
        <f>(I34)/1000</f>
        <v>0</v>
      </c>
      <c r="I34">
        <f>IF(BD34, AL34, AF34)</f>
        <v>0</v>
      </c>
      <c r="J34">
        <f>IF(BD34, AG34, AE34)</f>
        <v>0</v>
      </c>
      <c r="K34">
        <f>BF34 - IF(AS34&gt;1, J34*AZ34*100.0/(AU34), 0)</f>
        <v>0</v>
      </c>
      <c r="L34">
        <f>((R34-H34/2)*K34-J34)/(R34+H34/2)</f>
        <v>0</v>
      </c>
      <c r="M34">
        <f>L34*(BM34+BN34)/1000.0</f>
        <v>0</v>
      </c>
      <c r="N34">
        <f>(BF34 - IF(AS34&gt;1, J34*AZ34*100.0/(AU34), 0))*(BM34+BN34)/1000.0</f>
        <v>0</v>
      </c>
      <c r="O34">
        <f>2.0/((1/Q34-1/P34)+SIGN(Q34)*SQRT((1/Q34-1/P34)*(1/Q34-1/P34) + 4*BA34/((BA34+1)*(BA34+1))*(2*1/Q34*1/P34-1/P34*1/P34)))</f>
        <v>0</v>
      </c>
      <c r="P34">
        <f>IF(LEFT(BB34,1)&lt;&gt;"0",IF(LEFT(BB34,1)="1",3.0,BC34),$D$5+$E$5*(BT34*BM34/($K$5*1000))+$F$5*(BT34*BM34/($K$5*1000))*MAX(MIN(AZ34,$J$5),$I$5)*MAX(MIN(AZ34,$J$5),$I$5)+$G$5*MAX(MIN(AZ34,$J$5),$I$5)*(BT34*BM34/($K$5*1000))+$H$5*(BT34*BM34/($K$5*1000))*(BT34*BM34/($K$5*1000)))</f>
        <v>0</v>
      </c>
      <c r="Q34">
        <f>H34*(1000-(1000*0.61365*exp(17.502*U34/(240.97+U34))/(BM34+BN34)+BH34)/2)/(1000*0.61365*exp(17.502*U34/(240.97+U34))/(BM34+BN34)-BH34)</f>
        <v>0</v>
      </c>
      <c r="R34">
        <f>1/((BA34+1)/(O34/1.6)+1/(P34/1.37)) + BA34/((BA34+1)/(O34/1.6) + BA34/(P34/1.37))</f>
        <v>0</v>
      </c>
      <c r="S34">
        <f>(AV34*AY34)</f>
        <v>0</v>
      </c>
      <c r="T34">
        <f>(BO34+(S34+2*0.95*5.67E-8*(((BO34+$B$7)+273)^4-(BO34+273)^4)-44100*H34)/(1.84*29.3*P34+8*0.95*5.67E-8*(BO34+273)^3))</f>
        <v>0</v>
      </c>
      <c r="U34">
        <f>($C$7*BP34+$D$7*BQ34+$E$7*T34)</f>
        <v>0</v>
      </c>
      <c r="V34">
        <f>0.61365*exp(17.502*U34/(240.97+U34))</f>
        <v>0</v>
      </c>
      <c r="W34">
        <f>(X34/Y34*100)</f>
        <v>0</v>
      </c>
      <c r="X34">
        <f>BH34*(BM34+BN34)/1000</f>
        <v>0</v>
      </c>
      <c r="Y34">
        <f>0.61365*exp(17.502*BO34/(240.97+BO34))</f>
        <v>0</v>
      </c>
      <c r="Z34">
        <f>(V34-BH34*(BM34+BN34)/1000)</f>
        <v>0</v>
      </c>
      <c r="AA34">
        <f>(-H34*44100)</f>
        <v>0</v>
      </c>
      <c r="AB34">
        <f>2*29.3*P34*0.92*(BO34-U34)</f>
        <v>0</v>
      </c>
      <c r="AC34">
        <f>2*0.95*5.67E-8*(((BO34+$B$7)+273)^4-(U34+273)^4)</f>
        <v>0</v>
      </c>
      <c r="AD34">
        <f>S34+AC34+AA34+AB34</f>
        <v>0</v>
      </c>
      <c r="AE34">
        <f>BL34*AS34*(BG34-BF34*(1000-AS34*BI34)/(1000-AS34*BH34))/(100*AZ34)</f>
        <v>0</v>
      </c>
      <c r="AF34">
        <f>1000*BL34*AS34*(BH34-BI34)/(100*AZ34*(1000-AS34*BH34))</f>
        <v>0</v>
      </c>
      <c r="AG34">
        <f>(AH34 - AI34 - BM34*1E3/(8.314*(BO34+273.15)) * AK34/BL34 * AJ34) * BL34/(100*AZ34) * (1000 - BI34)/1000</f>
        <v>0</v>
      </c>
      <c r="AH34">
        <v>405.1633255892849</v>
      </c>
      <c r="AI34">
        <v>400.6765696969696</v>
      </c>
      <c r="AJ34">
        <v>5.916953288146749E-05</v>
      </c>
      <c r="AK34">
        <v>66.94111591990928</v>
      </c>
      <c r="AL34">
        <f>(AN34 - AM34 + BM34*1E3/(8.314*(BO34+273.15)) * AP34/BL34 * AO34) * BL34/(100*AZ34) * 1000/(1000 - AN34)</f>
        <v>0</v>
      </c>
      <c r="AM34">
        <v>0.4208305128433255</v>
      </c>
      <c r="AN34">
        <v>3.257149272727273</v>
      </c>
      <c r="AO34">
        <v>-0.0001987324235088662</v>
      </c>
      <c r="AP34">
        <v>79.93288497473355</v>
      </c>
      <c r="AQ34">
        <v>194</v>
      </c>
      <c r="AR34">
        <v>24</v>
      </c>
      <c r="AS34">
        <f>IF(AQ34*$H$13&gt;=AU34,1.0,(AU34/(AU34-AQ34*$H$13)))</f>
        <v>0</v>
      </c>
      <c r="AT34">
        <f>(AS34-1)*100</f>
        <v>0</v>
      </c>
      <c r="AU34">
        <f>MAX(0,($B$13+$C$13*BT34)/(1+$D$13*BT34)*BM34/(BO34+273)*$E$13)</f>
        <v>0</v>
      </c>
      <c r="AV34">
        <f>$B$11*BU34+$C$11*BV34+$F$11*CG34*(1-CJ34)</f>
        <v>0</v>
      </c>
      <c r="AW34">
        <f>AV34*AX34</f>
        <v>0</v>
      </c>
      <c r="AX34">
        <f>($B$11*$D$9+$C$11*$D$9+$F$11*((CT34+CL34)/MAX(CT34+CL34+CU34, 0.1)*$I$9+CU34/MAX(CT34+CL34+CU34, 0.1)*$J$9))/($B$11+$C$11+$F$11)</f>
        <v>0</v>
      </c>
      <c r="AY34">
        <f>($B$11*$K$9+$C$11*$K$9+$F$11*((CT34+CL34)/MAX(CT34+CL34+CU34, 0.1)*$P$9+CU34/MAX(CT34+CL34+CU34, 0.1)*$Q$9))/($B$11+$C$11+$F$11)</f>
        <v>0</v>
      </c>
      <c r="AZ34">
        <v>6</v>
      </c>
      <c r="BA34">
        <v>0.5</v>
      </c>
      <c r="BB34" t="s">
        <v>353</v>
      </c>
      <c r="BC34">
        <v>2</v>
      </c>
      <c r="BD34" t="b">
        <v>0</v>
      </c>
      <c r="BE34">
        <v>1751824265.75</v>
      </c>
      <c r="BF34">
        <v>399.3390666666667</v>
      </c>
      <c r="BG34">
        <v>404.9994666666665</v>
      </c>
      <c r="BH34">
        <v>3.273351333333333</v>
      </c>
      <c r="BI34">
        <v>0.4200650000000001</v>
      </c>
      <c r="BJ34">
        <v>398.8970666666667</v>
      </c>
      <c r="BK34">
        <v>3.487272333333334</v>
      </c>
      <c r="BL34">
        <v>800.0067</v>
      </c>
      <c r="BM34">
        <v>101.355</v>
      </c>
      <c r="BN34">
        <v>0.1002941</v>
      </c>
      <c r="BO34">
        <v>30.88071</v>
      </c>
      <c r="BP34">
        <v>30.90530666666667</v>
      </c>
      <c r="BQ34">
        <v>999.9000000000002</v>
      </c>
      <c r="BR34">
        <v>0</v>
      </c>
      <c r="BS34">
        <v>0</v>
      </c>
      <c r="BT34">
        <v>9999.445333333333</v>
      </c>
      <c r="BU34">
        <v>0</v>
      </c>
      <c r="BV34">
        <v>0.00152894</v>
      </c>
      <c r="BW34">
        <v>-5.627861333333333</v>
      </c>
      <c r="BX34">
        <v>400.6832333333334</v>
      </c>
      <c r="BY34">
        <v>405.1697</v>
      </c>
      <c r="BZ34">
        <v>2.853287</v>
      </c>
      <c r="CA34">
        <v>404.9994666666665</v>
      </c>
      <c r="CB34">
        <v>0.4200650000000001</v>
      </c>
      <c r="CC34">
        <v>0.3317706</v>
      </c>
      <c r="CD34">
        <v>0.04257567666666666</v>
      </c>
      <c r="CE34">
        <v>-8.179807666666665</v>
      </c>
      <c r="CF34">
        <v>-31.87594333333334</v>
      </c>
      <c r="CG34">
        <v>1000.003833333333</v>
      </c>
      <c r="CH34">
        <v>0.9600132666666668</v>
      </c>
      <c r="CI34">
        <v>0.03998698333333332</v>
      </c>
      <c r="CJ34">
        <v>0</v>
      </c>
      <c r="CK34">
        <v>0.7838333333333336</v>
      </c>
      <c r="CL34">
        <v>0</v>
      </c>
      <c r="CM34">
        <v>7010.705999999999</v>
      </c>
      <c r="CN34">
        <v>7946.984666666665</v>
      </c>
      <c r="CO34">
        <v>35.82879999999999</v>
      </c>
      <c r="CP34">
        <v>38.74159999999999</v>
      </c>
      <c r="CQ34">
        <v>37</v>
      </c>
      <c r="CR34">
        <v>38.04133333333333</v>
      </c>
      <c r="CS34">
        <v>36.625</v>
      </c>
      <c r="CT34">
        <v>960.0156666666666</v>
      </c>
      <c r="CU34">
        <v>39.98866666666667</v>
      </c>
      <c r="CV34">
        <v>0</v>
      </c>
      <c r="CW34">
        <v>1751824292.1</v>
      </c>
      <c r="CX34">
        <v>0</v>
      </c>
      <c r="CY34">
        <v>1751824296</v>
      </c>
      <c r="CZ34" t="s">
        <v>409</v>
      </c>
      <c r="DA34">
        <v>1751824296</v>
      </c>
      <c r="DB34">
        <v>1751824024.5</v>
      </c>
      <c r="DC34">
        <v>17</v>
      </c>
      <c r="DD34">
        <v>-0.031</v>
      </c>
      <c r="DE34">
        <v>0</v>
      </c>
      <c r="DF34">
        <v>0.442</v>
      </c>
      <c r="DG34">
        <v>-0.185</v>
      </c>
      <c r="DH34">
        <v>405</v>
      </c>
      <c r="DI34">
        <v>0</v>
      </c>
      <c r="DJ34">
        <v>0.32</v>
      </c>
      <c r="DK34">
        <v>0.07000000000000001</v>
      </c>
      <c r="DL34">
        <v>-5.627897073170732</v>
      </c>
      <c r="DM34">
        <v>0.03970160278746404</v>
      </c>
      <c r="DN34">
        <v>0.01637375059376565</v>
      </c>
      <c r="DO34">
        <v>1</v>
      </c>
      <c r="DP34">
        <v>2.866752682926829</v>
      </c>
      <c r="DQ34">
        <v>-0.2142466202090487</v>
      </c>
      <c r="DR34">
        <v>0.02135551565519937</v>
      </c>
      <c r="DS34">
        <v>0</v>
      </c>
      <c r="DT34">
        <v>1</v>
      </c>
      <c r="DU34">
        <v>2</v>
      </c>
      <c r="DV34" t="s">
        <v>355</v>
      </c>
      <c r="DW34">
        <v>3.44167</v>
      </c>
      <c r="DX34">
        <v>2.78087</v>
      </c>
      <c r="DY34">
        <v>0.0952228</v>
      </c>
      <c r="DZ34">
        <v>0.09626319999999999</v>
      </c>
      <c r="EA34">
        <v>0.0258307</v>
      </c>
      <c r="EB34">
        <v>0.00366418</v>
      </c>
      <c r="EC34">
        <v>27036.4</v>
      </c>
      <c r="ED34">
        <v>30728.9</v>
      </c>
      <c r="EE34">
        <v>29042.7</v>
      </c>
      <c r="EF34">
        <v>34609.7</v>
      </c>
      <c r="EG34">
        <v>32745.6</v>
      </c>
      <c r="EH34">
        <v>42673.6</v>
      </c>
      <c r="EI34">
        <v>35755</v>
      </c>
      <c r="EJ34">
        <v>45651.8</v>
      </c>
      <c r="EK34">
        <v>2.15185</v>
      </c>
      <c r="EL34">
        <v>2.08563</v>
      </c>
      <c r="EM34">
        <v>0.07399169999999999</v>
      </c>
      <c r="EN34">
        <v>0</v>
      </c>
      <c r="EO34">
        <v>29.7168</v>
      </c>
      <c r="EP34">
        <v>999.9</v>
      </c>
      <c r="EQ34">
        <v>46.8</v>
      </c>
      <c r="ER34">
        <v>30.3</v>
      </c>
      <c r="ES34">
        <v>20.0138</v>
      </c>
      <c r="ET34">
        <v>61.5301</v>
      </c>
      <c r="EU34">
        <v>25.8053</v>
      </c>
      <c r="EV34">
        <v>2</v>
      </c>
      <c r="EW34">
        <v>0.129042</v>
      </c>
      <c r="EX34">
        <v>0</v>
      </c>
      <c r="EY34">
        <v>20.2914</v>
      </c>
      <c r="EZ34">
        <v>5.21025</v>
      </c>
      <c r="FA34">
        <v>11.974</v>
      </c>
      <c r="FB34">
        <v>4.99</v>
      </c>
      <c r="FC34">
        <v>3.272</v>
      </c>
      <c r="FD34">
        <v>3858.5</v>
      </c>
      <c r="FE34">
        <v>9999</v>
      </c>
      <c r="FF34">
        <v>9999</v>
      </c>
      <c r="FG34">
        <v>999.9</v>
      </c>
      <c r="FH34">
        <v>4.97264</v>
      </c>
      <c r="FI34">
        <v>1.8631</v>
      </c>
      <c r="FJ34">
        <v>1.86495</v>
      </c>
      <c r="FK34">
        <v>1.8634</v>
      </c>
      <c r="FL34">
        <v>1.8634</v>
      </c>
      <c r="FM34">
        <v>1.86387</v>
      </c>
      <c r="FN34">
        <v>1.86042</v>
      </c>
      <c r="FO34">
        <v>1.86318</v>
      </c>
      <c r="FP34">
        <v>0</v>
      </c>
      <c r="FQ34">
        <v>0</v>
      </c>
      <c r="FR34">
        <v>0</v>
      </c>
      <c r="FS34">
        <v>0</v>
      </c>
      <c r="FT34" t="s">
        <v>356</v>
      </c>
      <c r="FU34" t="s">
        <v>357</v>
      </c>
      <c r="FV34" t="s">
        <v>358</v>
      </c>
      <c r="FW34" t="s">
        <v>358</v>
      </c>
      <c r="FX34" t="s">
        <v>358</v>
      </c>
      <c r="FY34" t="s">
        <v>358</v>
      </c>
      <c r="FZ34">
        <v>0</v>
      </c>
      <c r="GA34">
        <v>100</v>
      </c>
      <c r="GB34">
        <v>100</v>
      </c>
      <c r="GC34">
        <v>0.442</v>
      </c>
      <c r="GD34">
        <v>-0.2139</v>
      </c>
      <c r="GE34">
        <v>0.7561690934921698</v>
      </c>
      <c r="GF34">
        <v>-0.001033730503750798</v>
      </c>
      <c r="GG34">
        <v>9.120241388950126E-07</v>
      </c>
      <c r="GH34">
        <v>-2.246115299815222E-10</v>
      </c>
      <c r="GI34">
        <v>-0.1752634552835202</v>
      </c>
      <c r="GJ34">
        <v>-0.01814858093373864</v>
      </c>
      <c r="GK34">
        <v>0.002091959988359369</v>
      </c>
      <c r="GL34">
        <v>-1.90871700788604E-05</v>
      </c>
      <c r="GM34">
        <v>2</v>
      </c>
      <c r="GN34">
        <v>2210</v>
      </c>
      <c r="GO34">
        <v>1</v>
      </c>
      <c r="GP34">
        <v>26</v>
      </c>
      <c r="GQ34">
        <v>2.7</v>
      </c>
      <c r="GR34">
        <v>4.2</v>
      </c>
      <c r="GS34">
        <v>1.26099</v>
      </c>
      <c r="GT34">
        <v>2.40601</v>
      </c>
      <c r="GU34">
        <v>2.34741</v>
      </c>
      <c r="GV34">
        <v>2.66968</v>
      </c>
      <c r="GW34">
        <v>2.39868</v>
      </c>
      <c r="GX34">
        <v>2.26562</v>
      </c>
      <c r="GY34">
        <v>35.7078</v>
      </c>
      <c r="GZ34">
        <v>16.0321</v>
      </c>
      <c r="HA34">
        <v>18</v>
      </c>
      <c r="HB34">
        <v>595.554</v>
      </c>
      <c r="HC34">
        <v>589.362</v>
      </c>
      <c r="HD34">
        <v>30.5405</v>
      </c>
      <c r="HE34">
        <v>29.4635</v>
      </c>
      <c r="HF34">
        <v>30.0002</v>
      </c>
      <c r="HG34">
        <v>29.2345</v>
      </c>
      <c r="HH34">
        <v>29.1748</v>
      </c>
      <c r="HI34">
        <v>25.2806</v>
      </c>
      <c r="HJ34">
        <v>100</v>
      </c>
      <c r="HK34">
        <v>0</v>
      </c>
      <c r="HL34">
        <v>-999.9</v>
      </c>
      <c r="HM34">
        <v>405</v>
      </c>
      <c r="HN34">
        <v>0</v>
      </c>
      <c r="HO34">
        <v>99.7216</v>
      </c>
      <c r="HP34">
        <v>99.83240000000001</v>
      </c>
    </row>
    <row r="35" spans="1:224">
      <c r="A35">
        <v>19</v>
      </c>
      <c r="B35">
        <v>1751824470</v>
      </c>
      <c r="C35">
        <v>2083.400000095367</v>
      </c>
      <c r="D35" t="s">
        <v>410</v>
      </c>
      <c r="E35" t="s">
        <v>411</v>
      </c>
      <c r="F35">
        <v>15</v>
      </c>
      <c r="G35">
        <v>1751824462</v>
      </c>
      <c r="H35">
        <f>(I35)/1000</f>
        <v>0</v>
      </c>
      <c r="I35">
        <f>IF(BD35, AL35, AF35)</f>
        <v>0</v>
      </c>
      <c r="J35">
        <f>IF(BD35, AG35, AE35)</f>
        <v>0</v>
      </c>
      <c r="K35">
        <f>BF35 - IF(AS35&gt;1, J35*AZ35*100.0/(AU35), 0)</f>
        <v>0</v>
      </c>
      <c r="L35">
        <f>((R35-H35/2)*K35-J35)/(R35+H35/2)</f>
        <v>0</v>
      </c>
      <c r="M35">
        <f>L35*(BM35+BN35)/1000.0</f>
        <v>0</v>
      </c>
      <c r="N35">
        <f>(BF35 - IF(AS35&gt;1, J35*AZ35*100.0/(AU35), 0))*(BM35+BN35)/1000.0</f>
        <v>0</v>
      </c>
      <c r="O35">
        <f>2.0/((1/Q35-1/P35)+SIGN(Q35)*SQRT((1/Q35-1/P35)*(1/Q35-1/P35) + 4*BA35/((BA35+1)*(BA35+1))*(2*1/Q35*1/P35-1/P35*1/P35)))</f>
        <v>0</v>
      </c>
      <c r="P35">
        <f>IF(LEFT(BB35,1)&lt;&gt;"0",IF(LEFT(BB35,1)="1",3.0,BC35),$D$5+$E$5*(BT35*BM35/($K$5*1000))+$F$5*(BT35*BM35/($K$5*1000))*MAX(MIN(AZ35,$J$5),$I$5)*MAX(MIN(AZ35,$J$5),$I$5)+$G$5*MAX(MIN(AZ35,$J$5),$I$5)*(BT35*BM35/($K$5*1000))+$H$5*(BT35*BM35/($K$5*1000))*(BT35*BM35/($K$5*1000)))</f>
        <v>0</v>
      </c>
      <c r="Q35">
        <f>H35*(1000-(1000*0.61365*exp(17.502*U35/(240.97+U35))/(BM35+BN35)+BH35)/2)/(1000*0.61365*exp(17.502*U35/(240.97+U35))/(BM35+BN35)-BH35)</f>
        <v>0</v>
      </c>
      <c r="R35">
        <f>1/((BA35+1)/(O35/1.6)+1/(P35/1.37)) + BA35/((BA35+1)/(O35/1.6) + BA35/(P35/1.37))</f>
        <v>0</v>
      </c>
      <c r="S35">
        <f>(AV35*AY35)</f>
        <v>0</v>
      </c>
      <c r="T35">
        <f>(BO35+(S35+2*0.95*5.67E-8*(((BO35+$B$7)+273)^4-(BO35+273)^4)-44100*H35)/(1.84*29.3*P35+8*0.95*5.67E-8*(BO35+273)^3))</f>
        <v>0</v>
      </c>
      <c r="U35">
        <f>($C$7*BP35+$D$7*BQ35+$E$7*T35)</f>
        <v>0</v>
      </c>
      <c r="V35">
        <f>0.61365*exp(17.502*U35/(240.97+U35))</f>
        <v>0</v>
      </c>
      <c r="W35">
        <f>(X35/Y35*100)</f>
        <v>0</v>
      </c>
      <c r="X35">
        <f>BH35*(BM35+BN35)/1000</f>
        <v>0</v>
      </c>
      <c r="Y35">
        <f>0.61365*exp(17.502*BO35/(240.97+BO35))</f>
        <v>0</v>
      </c>
      <c r="Z35">
        <f>(V35-BH35*(BM35+BN35)/1000)</f>
        <v>0</v>
      </c>
      <c r="AA35">
        <f>(-H35*44100)</f>
        <v>0</v>
      </c>
      <c r="AB35">
        <f>2*29.3*P35*0.92*(BO35-U35)</f>
        <v>0</v>
      </c>
      <c r="AC35">
        <f>2*0.95*5.67E-8*(((BO35+$B$7)+273)^4-(U35+273)^4)</f>
        <v>0</v>
      </c>
      <c r="AD35">
        <f>S35+AC35+AA35+AB35</f>
        <v>0</v>
      </c>
      <c r="AE35">
        <f>BL35*AS35*(BG35-BF35*(1000-AS35*BI35)/(1000-AS35*BH35))/(100*AZ35)</f>
        <v>0</v>
      </c>
      <c r="AF35">
        <f>1000*BL35*AS35*(BH35-BI35)/(100*AZ35*(1000-AS35*BH35))</f>
        <v>0</v>
      </c>
      <c r="AG35">
        <f>(AH35 - AI35 - BM35*1E3/(8.314*(BO35+273.15)) * AK35/BL35 * AJ35) * BL35/(100*AZ35) * (1000 - BI35)/1000</f>
        <v>0</v>
      </c>
      <c r="AH35">
        <v>405.1693858392012</v>
      </c>
      <c r="AI35">
        <v>402.2702181818181</v>
      </c>
      <c r="AJ35">
        <v>-0.002142407451944671</v>
      </c>
      <c r="AK35">
        <v>66.94121094857898</v>
      </c>
      <c r="AL35">
        <f>(AN35 - AM35 + BM35*1E3/(8.314*(BO35+273.15)) * AP35/BL35 * AO35) * BL35/(100*AZ35) * 1000/(1000 - AN35)</f>
        <v>0</v>
      </c>
      <c r="AM35">
        <v>0.439705692112766</v>
      </c>
      <c r="AN35">
        <v>3.600170666666666</v>
      </c>
      <c r="AO35">
        <v>1.708201229047781E-05</v>
      </c>
      <c r="AP35">
        <v>79.93277380707846</v>
      </c>
      <c r="AQ35">
        <v>270</v>
      </c>
      <c r="AR35">
        <v>34</v>
      </c>
      <c r="AS35">
        <f>IF(AQ35*$H$13&gt;=AU35,1.0,(AU35/(AU35-AQ35*$H$13)))</f>
        <v>0</v>
      </c>
      <c r="AT35">
        <f>(AS35-1)*100</f>
        <v>0</v>
      </c>
      <c r="AU35">
        <f>MAX(0,($B$13+$C$13*BT35)/(1+$D$13*BT35)*BM35/(BO35+273)*$E$13)</f>
        <v>0</v>
      </c>
      <c r="AV35">
        <f>$B$11*BU35+$C$11*BV35+$F$11*CG35*(1-CJ35)</f>
        <v>0</v>
      </c>
      <c r="AW35">
        <f>AV35*AX35</f>
        <v>0</v>
      </c>
      <c r="AX35">
        <f>($B$11*$D$9+$C$11*$D$9+$F$11*((CT35+CL35)/MAX(CT35+CL35+CU35, 0.1)*$I$9+CU35/MAX(CT35+CL35+CU35, 0.1)*$J$9))/($B$11+$C$11+$F$11)</f>
        <v>0</v>
      </c>
      <c r="AY35">
        <f>($B$11*$K$9+$C$11*$K$9+$F$11*((CT35+CL35)/MAX(CT35+CL35+CU35, 0.1)*$P$9+CU35/MAX(CT35+CL35+CU35, 0.1)*$Q$9))/($B$11+$C$11+$F$11)</f>
        <v>0</v>
      </c>
      <c r="AZ35">
        <v>6</v>
      </c>
      <c r="BA35">
        <v>0.5</v>
      </c>
      <c r="BB35" t="s">
        <v>353</v>
      </c>
      <c r="BC35">
        <v>2</v>
      </c>
      <c r="BD35" t="b">
        <v>0</v>
      </c>
      <c r="BE35">
        <v>1751824462</v>
      </c>
      <c r="BF35">
        <v>400.8419677419355</v>
      </c>
      <c r="BG35">
        <v>404.998</v>
      </c>
      <c r="BH35">
        <v>3.598156129032259</v>
      </c>
      <c r="BI35">
        <v>0.4388286451612902</v>
      </c>
      <c r="BJ35">
        <v>400.4199677419355</v>
      </c>
      <c r="BK35">
        <v>3.813264516129033</v>
      </c>
      <c r="BL35">
        <v>800.0014193548387</v>
      </c>
      <c r="BM35">
        <v>101.3520322580645</v>
      </c>
      <c r="BN35">
        <v>0.1006605193548387</v>
      </c>
      <c r="BO35">
        <v>30.92974193548387</v>
      </c>
      <c r="BP35">
        <v>30.75041935483871</v>
      </c>
      <c r="BQ35">
        <v>999.9000000000003</v>
      </c>
      <c r="BR35">
        <v>0</v>
      </c>
      <c r="BS35">
        <v>0</v>
      </c>
      <c r="BT35">
        <v>9996.488064516128</v>
      </c>
      <c r="BU35">
        <v>0</v>
      </c>
      <c r="BV35">
        <v>0.00152894</v>
      </c>
      <c r="BW35">
        <v>-4.134730322580646</v>
      </c>
      <c r="BX35">
        <v>402.3109354838709</v>
      </c>
      <c r="BY35">
        <v>405.1758064516129</v>
      </c>
      <c r="BZ35">
        <v>3.159328064516129</v>
      </c>
      <c r="CA35">
        <v>404.998</v>
      </c>
      <c r="CB35">
        <v>0.4388286451612902</v>
      </c>
      <c r="CC35">
        <v>0.3646805806451612</v>
      </c>
      <c r="CD35">
        <v>0.0444761935483871</v>
      </c>
      <c r="CE35">
        <v>-6.95808935483871</v>
      </c>
      <c r="CF35">
        <v>-31.42224193548386</v>
      </c>
      <c r="CG35">
        <v>1000.042096774194</v>
      </c>
      <c r="CH35">
        <v>0.9599889354838709</v>
      </c>
      <c r="CI35">
        <v>0.04001104838709677</v>
      </c>
      <c r="CJ35">
        <v>0</v>
      </c>
      <c r="CK35">
        <v>1.400967741935484</v>
      </c>
      <c r="CL35">
        <v>0</v>
      </c>
      <c r="CM35">
        <v>5781.270967741934</v>
      </c>
      <c r="CN35">
        <v>7947.209677419355</v>
      </c>
      <c r="CO35">
        <v>35.81199999999999</v>
      </c>
      <c r="CP35">
        <v>38.69309677419353</v>
      </c>
      <c r="CQ35">
        <v>36.99187096774194</v>
      </c>
      <c r="CR35">
        <v>37.99593548387097</v>
      </c>
      <c r="CS35">
        <v>36.62093548387097</v>
      </c>
      <c r="CT35">
        <v>960.0303225806451</v>
      </c>
      <c r="CU35">
        <v>40.01032258064516</v>
      </c>
      <c r="CV35">
        <v>0</v>
      </c>
      <c r="CW35">
        <v>1751824488.3</v>
      </c>
      <c r="CX35">
        <v>0</v>
      </c>
      <c r="CY35">
        <v>1751824487</v>
      </c>
      <c r="CZ35" t="s">
        <v>412</v>
      </c>
      <c r="DA35">
        <v>1751824487</v>
      </c>
      <c r="DB35">
        <v>1751824024.5</v>
      </c>
      <c r="DC35">
        <v>18</v>
      </c>
      <c r="DD35">
        <v>-0.02</v>
      </c>
      <c r="DE35">
        <v>0</v>
      </c>
      <c r="DF35">
        <v>0.422</v>
      </c>
      <c r="DG35">
        <v>-0.185</v>
      </c>
      <c r="DH35">
        <v>405</v>
      </c>
      <c r="DI35">
        <v>0</v>
      </c>
      <c r="DJ35">
        <v>0.29</v>
      </c>
      <c r="DK35">
        <v>0.07000000000000001</v>
      </c>
      <c r="DL35">
        <v>-4.1430685</v>
      </c>
      <c r="DM35">
        <v>0.1576723452157734</v>
      </c>
      <c r="DN35">
        <v>0.02743717246273749</v>
      </c>
      <c r="DO35">
        <v>0</v>
      </c>
      <c r="DP35">
        <v>3.16152025</v>
      </c>
      <c r="DQ35">
        <v>-0.04259268292683012</v>
      </c>
      <c r="DR35">
        <v>0.004628448167312656</v>
      </c>
      <c r="DS35">
        <v>1</v>
      </c>
      <c r="DT35">
        <v>1</v>
      </c>
      <c r="DU35">
        <v>2</v>
      </c>
      <c r="DV35" t="s">
        <v>355</v>
      </c>
      <c r="DW35">
        <v>3.44152</v>
      </c>
      <c r="DX35">
        <v>2.78018</v>
      </c>
      <c r="DY35">
        <v>0.0954841</v>
      </c>
      <c r="DZ35">
        <v>0.09624190000000001</v>
      </c>
      <c r="EA35">
        <v>0.0280507</v>
      </c>
      <c r="EB35">
        <v>0.00382084</v>
      </c>
      <c r="EC35">
        <v>27028.2</v>
      </c>
      <c r="ED35">
        <v>30729</v>
      </c>
      <c r="EE35">
        <v>29042.4</v>
      </c>
      <c r="EF35">
        <v>34609.3</v>
      </c>
      <c r="EG35">
        <v>32671.4</v>
      </c>
      <c r="EH35">
        <v>42666.7</v>
      </c>
      <c r="EI35">
        <v>35755.6</v>
      </c>
      <c r="EJ35">
        <v>45651.7</v>
      </c>
      <c r="EK35">
        <v>2.02082</v>
      </c>
      <c r="EL35">
        <v>2.08183</v>
      </c>
      <c r="EM35">
        <v>0.0631586</v>
      </c>
      <c r="EN35">
        <v>0</v>
      </c>
      <c r="EO35">
        <v>29.6625</v>
      </c>
      <c r="EP35">
        <v>999.9</v>
      </c>
      <c r="EQ35">
        <v>45.9</v>
      </c>
      <c r="ER35">
        <v>30.7</v>
      </c>
      <c r="ES35">
        <v>20.0836</v>
      </c>
      <c r="ET35">
        <v>61.9601</v>
      </c>
      <c r="EU35">
        <v>25.9054</v>
      </c>
      <c r="EV35">
        <v>2</v>
      </c>
      <c r="EW35">
        <v>0.132002</v>
      </c>
      <c r="EX35">
        <v>0</v>
      </c>
      <c r="EY35">
        <v>20.2914</v>
      </c>
      <c r="EZ35">
        <v>5.2107</v>
      </c>
      <c r="FA35">
        <v>11.974</v>
      </c>
      <c r="FB35">
        <v>4.98965</v>
      </c>
      <c r="FC35">
        <v>3.272</v>
      </c>
      <c r="FD35">
        <v>3864.5</v>
      </c>
      <c r="FE35">
        <v>9999</v>
      </c>
      <c r="FF35">
        <v>9999</v>
      </c>
      <c r="FG35">
        <v>999.9</v>
      </c>
      <c r="FH35">
        <v>4.97263</v>
      </c>
      <c r="FI35">
        <v>1.8631</v>
      </c>
      <c r="FJ35">
        <v>1.86505</v>
      </c>
      <c r="FK35">
        <v>1.86346</v>
      </c>
      <c r="FL35">
        <v>1.8634</v>
      </c>
      <c r="FM35">
        <v>1.86388</v>
      </c>
      <c r="FN35">
        <v>1.86046</v>
      </c>
      <c r="FO35">
        <v>1.86323</v>
      </c>
      <c r="FP35">
        <v>0</v>
      </c>
      <c r="FQ35">
        <v>0</v>
      </c>
      <c r="FR35">
        <v>0</v>
      </c>
      <c r="FS35">
        <v>0</v>
      </c>
      <c r="FT35" t="s">
        <v>356</v>
      </c>
      <c r="FU35" t="s">
        <v>357</v>
      </c>
      <c r="FV35" t="s">
        <v>358</v>
      </c>
      <c r="FW35" t="s">
        <v>358</v>
      </c>
      <c r="FX35" t="s">
        <v>358</v>
      </c>
      <c r="FY35" t="s">
        <v>358</v>
      </c>
      <c r="FZ35">
        <v>0</v>
      </c>
      <c r="GA35">
        <v>100</v>
      </c>
      <c r="GB35">
        <v>100</v>
      </c>
      <c r="GC35">
        <v>0.422</v>
      </c>
      <c r="GD35">
        <v>-0.2151</v>
      </c>
      <c r="GE35">
        <v>0.7254814086266848</v>
      </c>
      <c r="GF35">
        <v>-0.001033730503750798</v>
      </c>
      <c r="GG35">
        <v>9.120241388950126E-07</v>
      </c>
      <c r="GH35">
        <v>-2.246115299815222E-10</v>
      </c>
      <c r="GI35">
        <v>-0.1752634552835202</v>
      </c>
      <c r="GJ35">
        <v>-0.01814858093373864</v>
      </c>
      <c r="GK35">
        <v>0.002091959988359369</v>
      </c>
      <c r="GL35">
        <v>-1.90871700788604E-05</v>
      </c>
      <c r="GM35">
        <v>2</v>
      </c>
      <c r="GN35">
        <v>2210</v>
      </c>
      <c r="GO35">
        <v>1</v>
      </c>
      <c r="GP35">
        <v>26</v>
      </c>
      <c r="GQ35">
        <v>2.9</v>
      </c>
      <c r="GR35">
        <v>7.4</v>
      </c>
      <c r="GS35">
        <v>1.26099</v>
      </c>
      <c r="GT35">
        <v>2.41821</v>
      </c>
      <c r="GU35">
        <v>2.34863</v>
      </c>
      <c r="GV35">
        <v>2.66724</v>
      </c>
      <c r="GW35">
        <v>2.39868</v>
      </c>
      <c r="GX35">
        <v>2.25342</v>
      </c>
      <c r="GY35">
        <v>35.9879</v>
      </c>
      <c r="GZ35">
        <v>15.997</v>
      </c>
      <c r="HA35">
        <v>18</v>
      </c>
      <c r="HB35">
        <v>510.856</v>
      </c>
      <c r="HC35">
        <v>587.193</v>
      </c>
      <c r="HD35">
        <v>30.6069</v>
      </c>
      <c r="HE35">
        <v>29.5165</v>
      </c>
      <c r="HF35">
        <v>30.0003</v>
      </c>
      <c r="HG35">
        <v>29.3044</v>
      </c>
      <c r="HH35">
        <v>29.2469</v>
      </c>
      <c r="HI35">
        <v>25.2889</v>
      </c>
      <c r="HJ35">
        <v>100</v>
      </c>
      <c r="HK35">
        <v>0</v>
      </c>
      <c r="HL35">
        <v>-999.9</v>
      </c>
      <c r="HM35">
        <v>405</v>
      </c>
      <c r="HN35">
        <v>0</v>
      </c>
      <c r="HO35">
        <v>99.72199999999999</v>
      </c>
      <c r="HP35">
        <v>99.8318</v>
      </c>
    </row>
    <row r="36" spans="1:224">
      <c r="A36">
        <v>20</v>
      </c>
      <c r="B36">
        <v>1751824616</v>
      </c>
      <c r="C36">
        <v>2229.400000095367</v>
      </c>
      <c r="D36" t="s">
        <v>413</v>
      </c>
      <c r="E36" t="s">
        <v>414</v>
      </c>
      <c r="F36">
        <v>15</v>
      </c>
      <c r="G36">
        <v>1751824608</v>
      </c>
      <c r="H36">
        <f>(I36)/1000</f>
        <v>0</v>
      </c>
      <c r="I36">
        <f>IF(BD36, AL36, AF36)</f>
        <v>0</v>
      </c>
      <c r="J36">
        <f>IF(BD36, AG36, AE36)</f>
        <v>0</v>
      </c>
      <c r="K36">
        <f>BF36 - IF(AS36&gt;1, J36*AZ36*100.0/(AU36), 0)</f>
        <v>0</v>
      </c>
      <c r="L36">
        <f>((R36-H36/2)*K36-J36)/(R36+H36/2)</f>
        <v>0</v>
      </c>
      <c r="M36">
        <f>L36*(BM36+BN36)/1000.0</f>
        <v>0</v>
      </c>
      <c r="N36">
        <f>(BF36 - IF(AS36&gt;1, J36*AZ36*100.0/(AU36), 0))*(BM36+BN36)/1000.0</f>
        <v>0</v>
      </c>
      <c r="O36">
        <f>2.0/((1/Q36-1/P36)+SIGN(Q36)*SQRT((1/Q36-1/P36)*(1/Q36-1/P36) + 4*BA36/((BA36+1)*(BA36+1))*(2*1/Q36*1/P36-1/P36*1/P36)))</f>
        <v>0</v>
      </c>
      <c r="P36">
        <f>IF(LEFT(BB36,1)&lt;&gt;"0",IF(LEFT(BB36,1)="1",3.0,BC36),$D$5+$E$5*(BT36*BM36/($K$5*1000))+$F$5*(BT36*BM36/($K$5*1000))*MAX(MIN(AZ36,$J$5),$I$5)*MAX(MIN(AZ36,$J$5),$I$5)+$G$5*MAX(MIN(AZ36,$J$5),$I$5)*(BT36*BM36/($K$5*1000))+$H$5*(BT36*BM36/($K$5*1000))*(BT36*BM36/($K$5*1000)))</f>
        <v>0</v>
      </c>
      <c r="Q36">
        <f>H36*(1000-(1000*0.61365*exp(17.502*U36/(240.97+U36))/(BM36+BN36)+BH36)/2)/(1000*0.61365*exp(17.502*U36/(240.97+U36))/(BM36+BN36)-BH36)</f>
        <v>0</v>
      </c>
      <c r="R36">
        <f>1/((BA36+1)/(O36/1.6)+1/(P36/1.37)) + BA36/((BA36+1)/(O36/1.6) + BA36/(P36/1.37))</f>
        <v>0</v>
      </c>
      <c r="S36">
        <f>(AV36*AY36)</f>
        <v>0</v>
      </c>
      <c r="T36">
        <f>(BO36+(S36+2*0.95*5.67E-8*(((BO36+$B$7)+273)^4-(BO36+273)^4)-44100*H36)/(1.84*29.3*P36+8*0.95*5.67E-8*(BO36+273)^3))</f>
        <v>0</v>
      </c>
      <c r="U36">
        <f>($C$7*BP36+$D$7*BQ36+$E$7*T36)</f>
        <v>0</v>
      </c>
      <c r="V36">
        <f>0.61365*exp(17.502*U36/(240.97+U36))</f>
        <v>0</v>
      </c>
      <c r="W36">
        <f>(X36/Y36*100)</f>
        <v>0</v>
      </c>
      <c r="X36">
        <f>BH36*(BM36+BN36)/1000</f>
        <v>0</v>
      </c>
      <c r="Y36">
        <f>0.61365*exp(17.502*BO36/(240.97+BO36))</f>
        <v>0</v>
      </c>
      <c r="Z36">
        <f>(V36-BH36*(BM36+BN36)/1000)</f>
        <v>0</v>
      </c>
      <c r="AA36">
        <f>(-H36*44100)</f>
        <v>0</v>
      </c>
      <c r="AB36">
        <f>2*29.3*P36*0.92*(BO36-U36)</f>
        <v>0</v>
      </c>
      <c r="AC36">
        <f>2*0.95*5.67E-8*(((BO36+$B$7)+273)^4-(U36+273)^4)</f>
        <v>0</v>
      </c>
      <c r="AD36">
        <f>S36+AC36+AA36+AB36</f>
        <v>0</v>
      </c>
      <c r="AE36">
        <f>BL36*AS36*(BG36-BF36*(1000-AS36*BI36)/(1000-AS36*BH36))/(100*AZ36)</f>
        <v>0</v>
      </c>
      <c r="AF36">
        <f>1000*BL36*AS36*(BH36-BI36)/(100*AZ36*(1000-AS36*BH36))</f>
        <v>0</v>
      </c>
      <c r="AG36">
        <f>(AH36 - AI36 - BM36*1E3/(8.314*(BO36+273.15)) * AK36/BL36 * AJ36) * BL36/(100*AZ36) * (1000 - BI36)/1000</f>
        <v>0</v>
      </c>
      <c r="AH36">
        <v>405.2023471481728</v>
      </c>
      <c r="AI36">
        <v>404.1774242424243</v>
      </c>
      <c r="AJ36">
        <v>0.0002904292535462755</v>
      </c>
      <c r="AK36">
        <v>66.94153685131195</v>
      </c>
      <c r="AL36">
        <f>(AN36 - AM36 + BM36*1E3/(8.314*(BO36+273.15)) * AP36/BL36 * AO36) * BL36/(100*AZ36) * 1000/(1000 - AN36)</f>
        <v>0</v>
      </c>
      <c r="AM36">
        <v>0.4531870081337242</v>
      </c>
      <c r="AN36">
        <v>1.833489575757575</v>
      </c>
      <c r="AO36">
        <v>-7.997035456987071E-05</v>
      </c>
      <c r="AP36">
        <v>79.94223074803205</v>
      </c>
      <c r="AQ36">
        <v>39</v>
      </c>
      <c r="AR36">
        <v>5</v>
      </c>
      <c r="AS36">
        <f>IF(AQ36*$H$13&gt;=AU36,1.0,(AU36/(AU36-AQ36*$H$13)))</f>
        <v>0</v>
      </c>
      <c r="AT36">
        <f>(AS36-1)*100</f>
        <v>0</v>
      </c>
      <c r="AU36">
        <f>MAX(0,($B$13+$C$13*BT36)/(1+$D$13*BT36)*BM36/(BO36+273)*$E$13)</f>
        <v>0</v>
      </c>
      <c r="AV36">
        <f>$B$11*BU36+$C$11*BV36+$F$11*CG36*(1-CJ36)</f>
        <v>0</v>
      </c>
      <c r="AW36">
        <f>AV36*AX36</f>
        <v>0</v>
      </c>
      <c r="AX36">
        <f>($B$11*$D$9+$C$11*$D$9+$F$11*((CT36+CL36)/MAX(CT36+CL36+CU36, 0.1)*$I$9+CU36/MAX(CT36+CL36+CU36, 0.1)*$J$9))/($B$11+$C$11+$F$11)</f>
        <v>0</v>
      </c>
      <c r="AY36">
        <f>($B$11*$K$9+$C$11*$K$9+$F$11*((CT36+CL36)/MAX(CT36+CL36+CU36, 0.1)*$P$9+CU36/MAX(CT36+CL36+CU36, 0.1)*$Q$9))/($B$11+$C$11+$F$11)</f>
        <v>0</v>
      </c>
      <c r="AZ36">
        <v>6</v>
      </c>
      <c r="BA36">
        <v>0.5</v>
      </c>
      <c r="BB36" t="s">
        <v>353</v>
      </c>
      <c r="BC36">
        <v>2</v>
      </c>
      <c r="BD36" t="b">
        <v>0</v>
      </c>
      <c r="BE36">
        <v>1751824608</v>
      </c>
      <c r="BF36">
        <v>403.3722580645161</v>
      </c>
      <c r="BG36">
        <v>404.9909032258066</v>
      </c>
      <c r="BH36">
        <v>1.845156451612903</v>
      </c>
      <c r="BI36">
        <v>0.4525788387096774</v>
      </c>
      <c r="BJ36">
        <v>402.9952580645161</v>
      </c>
      <c r="BK36">
        <v>2.048986451612903</v>
      </c>
      <c r="BL36">
        <v>799.9892580645161</v>
      </c>
      <c r="BM36">
        <v>101.3509677419355</v>
      </c>
      <c r="BN36">
        <v>0.09996808387096774</v>
      </c>
      <c r="BO36">
        <v>30.99299677419355</v>
      </c>
      <c r="BP36">
        <v>30.89194516129032</v>
      </c>
      <c r="BQ36">
        <v>999.9000000000003</v>
      </c>
      <c r="BR36">
        <v>0</v>
      </c>
      <c r="BS36">
        <v>0</v>
      </c>
      <c r="BT36">
        <v>10004.51451612903</v>
      </c>
      <c r="BU36">
        <v>0</v>
      </c>
      <c r="BV36">
        <v>0.00152894</v>
      </c>
      <c r="BW36">
        <v>-1.573185806451613</v>
      </c>
      <c r="BX36">
        <v>404.1635161290322</v>
      </c>
      <c r="BY36">
        <v>405.1742258064515</v>
      </c>
      <c r="BZ36">
        <v>1.392578387096775</v>
      </c>
      <c r="CA36">
        <v>404.9909032258066</v>
      </c>
      <c r="CB36">
        <v>0.4525788387096774</v>
      </c>
      <c r="CC36">
        <v>0.1870082903225807</v>
      </c>
      <c r="CD36">
        <v>0.04586928064516128</v>
      </c>
      <c r="CE36">
        <v>-15.32023870967742</v>
      </c>
      <c r="CF36">
        <v>-31.10065483870968</v>
      </c>
      <c r="CG36">
        <v>999.9981935483871</v>
      </c>
      <c r="CH36">
        <v>0.95998435483871</v>
      </c>
      <c r="CI36">
        <v>0.04001550967741934</v>
      </c>
      <c r="CJ36">
        <v>0</v>
      </c>
      <c r="CK36">
        <v>0.0264516129032259</v>
      </c>
      <c r="CL36">
        <v>0</v>
      </c>
      <c r="CM36">
        <v>5760.214516129034</v>
      </c>
      <c r="CN36">
        <v>7946.846774193548</v>
      </c>
      <c r="CO36">
        <v>35.81199999999999</v>
      </c>
      <c r="CP36">
        <v>38.74593548387097</v>
      </c>
      <c r="CQ36">
        <v>36.99593548387097</v>
      </c>
      <c r="CR36">
        <v>37.93903225806451</v>
      </c>
      <c r="CS36">
        <v>36.56606451612902</v>
      </c>
      <c r="CT36">
        <v>959.9829032258064</v>
      </c>
      <c r="CU36">
        <v>40.01387096774193</v>
      </c>
      <c r="CV36">
        <v>0</v>
      </c>
      <c r="CW36">
        <v>1751824634.7</v>
      </c>
      <c r="CX36">
        <v>0</v>
      </c>
      <c r="CY36">
        <v>1751824632</v>
      </c>
      <c r="CZ36" t="s">
        <v>415</v>
      </c>
      <c r="DA36">
        <v>1751824632</v>
      </c>
      <c r="DB36">
        <v>1751824024.5</v>
      </c>
      <c r="DC36">
        <v>19</v>
      </c>
      <c r="DD36">
        <v>-0.044</v>
      </c>
      <c r="DE36">
        <v>0</v>
      </c>
      <c r="DF36">
        <v>0.377</v>
      </c>
      <c r="DG36">
        <v>-0.185</v>
      </c>
      <c r="DH36">
        <v>405</v>
      </c>
      <c r="DI36">
        <v>0</v>
      </c>
      <c r="DJ36">
        <v>0.27</v>
      </c>
      <c r="DK36">
        <v>0.07000000000000001</v>
      </c>
      <c r="DL36">
        <v>-1.567807804878049</v>
      </c>
      <c r="DM36">
        <v>-0.04181038327526257</v>
      </c>
      <c r="DN36">
        <v>0.01959651954068039</v>
      </c>
      <c r="DO36">
        <v>1</v>
      </c>
      <c r="DP36">
        <v>1.398287804878049</v>
      </c>
      <c r="DQ36">
        <v>-0.111197770034839</v>
      </c>
      <c r="DR36">
        <v>0.01098814117132428</v>
      </c>
      <c r="DS36">
        <v>0</v>
      </c>
      <c r="DT36">
        <v>1</v>
      </c>
      <c r="DU36">
        <v>2</v>
      </c>
      <c r="DV36" t="s">
        <v>355</v>
      </c>
      <c r="DW36">
        <v>3.44157</v>
      </c>
      <c r="DX36">
        <v>2.78098</v>
      </c>
      <c r="DY36">
        <v>0.0959386</v>
      </c>
      <c r="DZ36">
        <v>0.0962311</v>
      </c>
      <c r="EA36">
        <v>0.0160195</v>
      </c>
      <c r="EB36">
        <v>0.00394247</v>
      </c>
      <c r="EC36">
        <v>27013.6</v>
      </c>
      <c r="ED36">
        <v>30729</v>
      </c>
      <c r="EE36">
        <v>29041.6</v>
      </c>
      <c r="EF36">
        <v>34609</v>
      </c>
      <c r="EG36">
        <v>33076.4</v>
      </c>
      <c r="EH36">
        <v>42661.6</v>
      </c>
      <c r="EI36">
        <v>35755.5</v>
      </c>
      <c r="EJ36">
        <v>45651.8</v>
      </c>
      <c r="EK36">
        <v>2.39535</v>
      </c>
      <c r="EL36">
        <v>2.07868</v>
      </c>
      <c r="EM36">
        <v>0.08237360000000001</v>
      </c>
      <c r="EN36">
        <v>0</v>
      </c>
      <c r="EO36">
        <v>29.5872</v>
      </c>
      <c r="EP36">
        <v>999.9</v>
      </c>
      <c r="EQ36">
        <v>45.3</v>
      </c>
      <c r="ER36">
        <v>31</v>
      </c>
      <c r="ES36">
        <v>20.1644</v>
      </c>
      <c r="ET36">
        <v>62.0001</v>
      </c>
      <c r="EU36">
        <v>25.9335</v>
      </c>
      <c r="EV36">
        <v>2</v>
      </c>
      <c r="EW36">
        <v>0.13436</v>
      </c>
      <c r="EX36">
        <v>0</v>
      </c>
      <c r="EY36">
        <v>20.2915</v>
      </c>
      <c r="EZ36">
        <v>5.2104</v>
      </c>
      <c r="FA36">
        <v>11.974</v>
      </c>
      <c r="FB36">
        <v>4.98925</v>
      </c>
      <c r="FC36">
        <v>3.272</v>
      </c>
      <c r="FD36">
        <v>3868.8</v>
      </c>
      <c r="FE36">
        <v>9999</v>
      </c>
      <c r="FF36">
        <v>9999</v>
      </c>
      <c r="FG36">
        <v>999.9</v>
      </c>
      <c r="FH36">
        <v>4.97263</v>
      </c>
      <c r="FI36">
        <v>1.86311</v>
      </c>
      <c r="FJ36">
        <v>1.86506</v>
      </c>
      <c r="FK36">
        <v>1.86348</v>
      </c>
      <c r="FL36">
        <v>1.8634</v>
      </c>
      <c r="FM36">
        <v>1.86398</v>
      </c>
      <c r="FN36">
        <v>1.86041</v>
      </c>
      <c r="FO36">
        <v>1.86324</v>
      </c>
      <c r="FP36">
        <v>0</v>
      </c>
      <c r="FQ36">
        <v>0</v>
      </c>
      <c r="FR36">
        <v>0</v>
      </c>
      <c r="FS36">
        <v>0</v>
      </c>
      <c r="FT36" t="s">
        <v>356</v>
      </c>
      <c r="FU36" t="s">
        <v>357</v>
      </c>
      <c r="FV36" t="s">
        <v>358</v>
      </c>
      <c r="FW36" t="s">
        <v>358</v>
      </c>
      <c r="FX36" t="s">
        <v>358</v>
      </c>
      <c r="FY36" t="s">
        <v>358</v>
      </c>
      <c r="FZ36">
        <v>0</v>
      </c>
      <c r="GA36">
        <v>100</v>
      </c>
      <c r="GB36">
        <v>100</v>
      </c>
      <c r="GC36">
        <v>0.377</v>
      </c>
      <c r="GD36">
        <v>-0.2037</v>
      </c>
      <c r="GE36">
        <v>0.7055953619862869</v>
      </c>
      <c r="GF36">
        <v>-0.001033730503750798</v>
      </c>
      <c r="GG36">
        <v>9.120241388950126E-07</v>
      </c>
      <c r="GH36">
        <v>-2.246115299815222E-10</v>
      </c>
      <c r="GI36">
        <v>-0.1752634552835202</v>
      </c>
      <c r="GJ36">
        <v>-0.01814858093373864</v>
      </c>
      <c r="GK36">
        <v>0.002091959988359369</v>
      </c>
      <c r="GL36">
        <v>-1.90871700788604E-05</v>
      </c>
      <c r="GM36">
        <v>2</v>
      </c>
      <c r="GN36">
        <v>2210</v>
      </c>
      <c r="GO36">
        <v>1</v>
      </c>
      <c r="GP36">
        <v>26</v>
      </c>
      <c r="GQ36">
        <v>2.1</v>
      </c>
      <c r="GR36">
        <v>9.9</v>
      </c>
      <c r="GS36">
        <v>1.26099</v>
      </c>
      <c r="GT36">
        <v>2.40601</v>
      </c>
      <c r="GU36">
        <v>2.34741</v>
      </c>
      <c r="GV36">
        <v>2.66602</v>
      </c>
      <c r="GW36">
        <v>2.39868</v>
      </c>
      <c r="GX36">
        <v>2.28271</v>
      </c>
      <c r="GY36">
        <v>36.152</v>
      </c>
      <c r="GZ36">
        <v>15.997</v>
      </c>
      <c r="HA36">
        <v>18</v>
      </c>
      <c r="HB36">
        <v>785.067</v>
      </c>
      <c r="HC36">
        <v>585.252</v>
      </c>
      <c r="HD36">
        <v>30.6169</v>
      </c>
      <c r="HE36">
        <v>29.5596</v>
      </c>
      <c r="HF36">
        <v>30.0002</v>
      </c>
      <c r="HG36">
        <v>29.3364</v>
      </c>
      <c r="HH36">
        <v>29.2921</v>
      </c>
      <c r="HI36">
        <v>25.2956</v>
      </c>
      <c r="HJ36">
        <v>100</v>
      </c>
      <c r="HK36">
        <v>0</v>
      </c>
      <c r="HL36">
        <v>-999.9</v>
      </c>
      <c r="HM36">
        <v>405</v>
      </c>
      <c r="HN36">
        <v>0</v>
      </c>
      <c r="HO36">
        <v>99.7206</v>
      </c>
      <c r="HP36">
        <v>99.83159999999999</v>
      </c>
    </row>
    <row r="37" spans="1:224">
      <c r="A37">
        <v>21</v>
      </c>
      <c r="B37">
        <v>1751824706</v>
      </c>
      <c r="C37">
        <v>2319.400000095367</v>
      </c>
      <c r="D37" t="s">
        <v>416</v>
      </c>
      <c r="E37" t="s">
        <v>417</v>
      </c>
      <c r="F37">
        <v>15</v>
      </c>
      <c r="G37">
        <v>1751824698</v>
      </c>
      <c r="H37">
        <f>(I37)/1000</f>
        <v>0</v>
      </c>
      <c r="I37">
        <f>IF(BD37, AL37, AF37)</f>
        <v>0</v>
      </c>
      <c r="J37">
        <f>IF(BD37, AG37, AE37)</f>
        <v>0</v>
      </c>
      <c r="K37">
        <f>BF37 - IF(AS37&gt;1, J37*AZ37*100.0/(AU37), 0)</f>
        <v>0</v>
      </c>
      <c r="L37">
        <f>((R37-H37/2)*K37-J37)/(R37+H37/2)</f>
        <v>0</v>
      </c>
      <c r="M37">
        <f>L37*(BM37+BN37)/1000.0</f>
        <v>0</v>
      </c>
      <c r="N37">
        <f>(BF37 - IF(AS37&gt;1, J37*AZ37*100.0/(AU37), 0))*(BM37+BN37)/1000.0</f>
        <v>0</v>
      </c>
      <c r="O37">
        <f>2.0/((1/Q37-1/P37)+SIGN(Q37)*SQRT((1/Q37-1/P37)*(1/Q37-1/P37) + 4*BA37/((BA37+1)*(BA37+1))*(2*1/Q37*1/P37-1/P37*1/P37)))</f>
        <v>0</v>
      </c>
      <c r="P37">
        <f>IF(LEFT(BB37,1)&lt;&gt;"0",IF(LEFT(BB37,1)="1",3.0,BC37),$D$5+$E$5*(BT37*BM37/($K$5*1000))+$F$5*(BT37*BM37/($K$5*1000))*MAX(MIN(AZ37,$J$5),$I$5)*MAX(MIN(AZ37,$J$5),$I$5)+$G$5*MAX(MIN(AZ37,$J$5),$I$5)*(BT37*BM37/($K$5*1000))+$H$5*(BT37*BM37/($K$5*1000))*(BT37*BM37/($K$5*1000)))</f>
        <v>0</v>
      </c>
      <c r="Q37">
        <f>H37*(1000-(1000*0.61365*exp(17.502*U37/(240.97+U37))/(BM37+BN37)+BH37)/2)/(1000*0.61365*exp(17.502*U37/(240.97+U37))/(BM37+BN37)-BH37)</f>
        <v>0</v>
      </c>
      <c r="R37">
        <f>1/((BA37+1)/(O37/1.6)+1/(P37/1.37)) + BA37/((BA37+1)/(O37/1.6) + BA37/(P37/1.37))</f>
        <v>0</v>
      </c>
      <c r="S37">
        <f>(AV37*AY37)</f>
        <v>0</v>
      </c>
      <c r="T37">
        <f>(BO37+(S37+2*0.95*5.67E-8*(((BO37+$B$7)+273)^4-(BO37+273)^4)-44100*H37)/(1.84*29.3*P37+8*0.95*5.67E-8*(BO37+273)^3))</f>
        <v>0</v>
      </c>
      <c r="U37">
        <f>($C$7*BP37+$D$7*BQ37+$E$7*T37)</f>
        <v>0</v>
      </c>
      <c r="V37">
        <f>0.61365*exp(17.502*U37/(240.97+U37))</f>
        <v>0</v>
      </c>
      <c r="W37">
        <f>(X37/Y37*100)</f>
        <v>0</v>
      </c>
      <c r="X37">
        <f>BH37*(BM37+BN37)/1000</f>
        <v>0</v>
      </c>
      <c r="Y37">
        <f>0.61365*exp(17.502*BO37/(240.97+BO37))</f>
        <v>0</v>
      </c>
      <c r="Z37">
        <f>(V37-BH37*(BM37+BN37)/1000)</f>
        <v>0</v>
      </c>
      <c r="AA37">
        <f>(-H37*44100)</f>
        <v>0</v>
      </c>
      <c r="AB37">
        <f>2*29.3*P37*0.92*(BO37-U37)</f>
        <v>0</v>
      </c>
      <c r="AC37">
        <f>2*0.95*5.67E-8*(((BO37+$B$7)+273)^4-(U37+273)^4)</f>
        <v>0</v>
      </c>
      <c r="AD37">
        <f>S37+AC37+AA37+AB37</f>
        <v>0</v>
      </c>
      <c r="AE37">
        <f>BL37*AS37*(BG37-BF37*(1000-AS37*BI37)/(1000-AS37*BH37))/(100*AZ37)</f>
        <v>0</v>
      </c>
      <c r="AF37">
        <f>1000*BL37*AS37*(BH37-BI37)/(100*AZ37*(1000-AS37*BH37))</f>
        <v>0</v>
      </c>
      <c r="AG37">
        <f>(AH37 - AI37 - BM37*1E3/(8.314*(BO37+273.15)) * AK37/BL37 * AJ37) * BL37/(100*AZ37) * (1000 - BI37)/1000</f>
        <v>0</v>
      </c>
      <c r="AH37">
        <v>405.1651942520622</v>
      </c>
      <c r="AI37">
        <v>401.7429272727272</v>
      </c>
      <c r="AJ37">
        <v>0.001119655654021926</v>
      </c>
      <c r="AK37">
        <v>66.94167872924254</v>
      </c>
      <c r="AL37">
        <f>(AN37 - AM37 + BM37*1E3/(8.314*(BO37+273.15)) * AP37/BL37 * AO37) * BL37/(100*AZ37) * 1000/(1000 - AN37)</f>
        <v>0</v>
      </c>
      <c r="AM37">
        <v>0.4614171513491757</v>
      </c>
      <c r="AN37">
        <v>3.020806545454545</v>
      </c>
      <c r="AO37">
        <v>-0.007637698253709646</v>
      </c>
      <c r="AP37">
        <v>79.94608643853269</v>
      </c>
      <c r="AQ37">
        <v>209</v>
      </c>
      <c r="AR37">
        <v>26</v>
      </c>
      <c r="AS37">
        <f>IF(AQ37*$H$13&gt;=AU37,1.0,(AU37/(AU37-AQ37*$H$13)))</f>
        <v>0</v>
      </c>
      <c r="AT37">
        <f>(AS37-1)*100</f>
        <v>0</v>
      </c>
      <c r="AU37">
        <f>MAX(0,($B$13+$C$13*BT37)/(1+$D$13*BT37)*BM37/(BO37+273)*$E$13)</f>
        <v>0</v>
      </c>
      <c r="AV37">
        <f>$B$11*BU37+$C$11*BV37+$F$11*CG37*(1-CJ37)</f>
        <v>0</v>
      </c>
      <c r="AW37">
        <f>AV37*AX37</f>
        <v>0</v>
      </c>
      <c r="AX37">
        <f>($B$11*$D$9+$C$11*$D$9+$F$11*((CT37+CL37)/MAX(CT37+CL37+CU37, 0.1)*$I$9+CU37/MAX(CT37+CL37+CU37, 0.1)*$J$9))/($B$11+$C$11+$F$11)</f>
        <v>0</v>
      </c>
      <c r="AY37">
        <f>($B$11*$K$9+$C$11*$K$9+$F$11*((CT37+CL37)/MAX(CT37+CL37+CU37, 0.1)*$P$9+CU37/MAX(CT37+CL37+CU37, 0.1)*$Q$9))/($B$11+$C$11+$F$11)</f>
        <v>0</v>
      </c>
      <c r="AZ37">
        <v>6</v>
      </c>
      <c r="BA37">
        <v>0.5</v>
      </c>
      <c r="BB37" t="s">
        <v>353</v>
      </c>
      <c r="BC37">
        <v>2</v>
      </c>
      <c r="BD37" t="b">
        <v>0</v>
      </c>
      <c r="BE37">
        <v>1751824698</v>
      </c>
      <c r="BF37">
        <v>400.5252580645161</v>
      </c>
      <c r="BG37">
        <v>404.9902580645161</v>
      </c>
      <c r="BH37">
        <v>3.122428387096774</v>
      </c>
      <c r="BI37">
        <v>0.4606772903225806</v>
      </c>
      <c r="BJ37">
        <v>400.1212580645161</v>
      </c>
      <c r="BK37">
        <v>3.310428387096774</v>
      </c>
      <c r="BL37">
        <v>800.0011935483871</v>
      </c>
      <c r="BM37">
        <v>101.3536774193548</v>
      </c>
      <c r="BN37">
        <v>0.1001998870967742</v>
      </c>
      <c r="BO37">
        <v>31.02685161290322</v>
      </c>
      <c r="BP37">
        <v>30.75653225806452</v>
      </c>
      <c r="BQ37">
        <v>999.9000000000003</v>
      </c>
      <c r="BR37">
        <v>0</v>
      </c>
      <c r="BS37">
        <v>0</v>
      </c>
      <c r="BT37">
        <v>9986.369354838711</v>
      </c>
      <c r="BU37">
        <v>0</v>
      </c>
      <c r="BV37">
        <v>0.00152894</v>
      </c>
      <c r="BW37">
        <v>-4.489689354838709</v>
      </c>
      <c r="BX37">
        <v>401.7449032258065</v>
      </c>
      <c r="BY37">
        <v>405.1769032258065</v>
      </c>
      <c r="BZ37">
        <v>2.636649032258065</v>
      </c>
      <c r="CA37">
        <v>404.9902580645161</v>
      </c>
      <c r="CB37">
        <v>0.4606772903225806</v>
      </c>
      <c r="CC37">
        <v>0.3139251290322581</v>
      </c>
      <c r="CD37">
        <v>0.04669132258064516</v>
      </c>
      <c r="CE37">
        <v>-8.889957741935486</v>
      </c>
      <c r="CF37">
        <v>-30.91496451612904</v>
      </c>
      <c r="CG37">
        <v>999.9644838709677</v>
      </c>
      <c r="CH37">
        <v>0.9599836451612904</v>
      </c>
      <c r="CI37">
        <v>0.04001628709677419</v>
      </c>
      <c r="CJ37">
        <v>0</v>
      </c>
      <c r="CK37">
        <v>1.338064516129032</v>
      </c>
      <c r="CL37">
        <v>0</v>
      </c>
      <c r="CM37">
        <v>7289.750645161291</v>
      </c>
      <c r="CN37">
        <v>7946.575806451613</v>
      </c>
      <c r="CO37">
        <v>35.82825806451612</v>
      </c>
      <c r="CP37">
        <v>38.80399999999999</v>
      </c>
      <c r="CQ37">
        <v>37</v>
      </c>
      <c r="CR37">
        <v>38.05399999999999</v>
      </c>
      <c r="CS37">
        <v>36.63099999999999</v>
      </c>
      <c r="CT37">
        <v>959.95</v>
      </c>
      <c r="CU37">
        <v>40.01451612903226</v>
      </c>
      <c r="CV37">
        <v>0</v>
      </c>
      <c r="CW37">
        <v>1751824724.7</v>
      </c>
      <c r="CX37">
        <v>0</v>
      </c>
      <c r="CY37">
        <v>1751824733</v>
      </c>
      <c r="CZ37" t="s">
        <v>418</v>
      </c>
      <c r="DA37">
        <v>1751824723</v>
      </c>
      <c r="DB37">
        <v>1751824733</v>
      </c>
      <c r="DC37">
        <v>20</v>
      </c>
      <c r="DD37">
        <v>0.027</v>
      </c>
      <c r="DE37">
        <v>-0.001</v>
      </c>
      <c r="DF37">
        <v>0.404</v>
      </c>
      <c r="DG37">
        <v>-0.188</v>
      </c>
      <c r="DH37">
        <v>405</v>
      </c>
      <c r="DI37">
        <v>0</v>
      </c>
      <c r="DJ37">
        <v>0.15</v>
      </c>
      <c r="DK37">
        <v>0.04</v>
      </c>
      <c r="DL37">
        <v>-4.474599024390243</v>
      </c>
      <c r="DM37">
        <v>-0.19841937282231</v>
      </c>
      <c r="DN37">
        <v>0.03849200923124093</v>
      </c>
      <c r="DO37">
        <v>0</v>
      </c>
      <c r="DP37">
        <v>2.700943658536585</v>
      </c>
      <c r="DQ37">
        <v>-1.147474494773512</v>
      </c>
      <c r="DR37">
        <v>0.1183068610417077</v>
      </c>
      <c r="DS37">
        <v>0</v>
      </c>
      <c r="DT37">
        <v>0</v>
      </c>
      <c r="DU37">
        <v>2</v>
      </c>
      <c r="DV37" t="s">
        <v>365</v>
      </c>
      <c r="DW37">
        <v>3.44154</v>
      </c>
      <c r="DX37">
        <v>2.78094</v>
      </c>
      <c r="DY37">
        <v>0.09541669999999999</v>
      </c>
      <c r="DZ37">
        <v>0.0962252</v>
      </c>
      <c r="EA37">
        <v>0.02424</v>
      </c>
      <c r="EB37">
        <v>0.00400879</v>
      </c>
      <c r="EC37">
        <v>27029.3</v>
      </c>
      <c r="ED37">
        <v>30728</v>
      </c>
      <c r="EE37">
        <v>29041.7</v>
      </c>
      <c r="EF37">
        <v>34607.8</v>
      </c>
      <c r="EG37">
        <v>32799.3</v>
      </c>
      <c r="EH37">
        <v>42657.6</v>
      </c>
      <c r="EI37">
        <v>35755.2</v>
      </c>
      <c r="EJ37">
        <v>45650.6</v>
      </c>
      <c r="EK37">
        <v>2.12252</v>
      </c>
      <c r="EL37">
        <v>2.07705</v>
      </c>
      <c r="EM37">
        <v>0.0619441</v>
      </c>
      <c r="EN37">
        <v>0</v>
      </c>
      <c r="EO37">
        <v>29.7722</v>
      </c>
      <c r="EP37">
        <v>999.9</v>
      </c>
      <c r="EQ37">
        <v>45</v>
      </c>
      <c r="ER37">
        <v>31.1</v>
      </c>
      <c r="ES37">
        <v>20.1447</v>
      </c>
      <c r="ET37">
        <v>61.8501</v>
      </c>
      <c r="EU37">
        <v>25.9335</v>
      </c>
      <c r="EV37">
        <v>2</v>
      </c>
      <c r="EW37">
        <v>0.135785</v>
      </c>
      <c r="EX37">
        <v>0</v>
      </c>
      <c r="EY37">
        <v>20.2912</v>
      </c>
      <c r="EZ37">
        <v>5.2092</v>
      </c>
      <c r="FA37">
        <v>11.974</v>
      </c>
      <c r="FB37">
        <v>4.98955</v>
      </c>
      <c r="FC37">
        <v>3.272</v>
      </c>
      <c r="FD37">
        <v>3871.2</v>
      </c>
      <c r="FE37">
        <v>9999</v>
      </c>
      <c r="FF37">
        <v>9999</v>
      </c>
      <c r="FG37">
        <v>999.9</v>
      </c>
      <c r="FH37">
        <v>4.97263</v>
      </c>
      <c r="FI37">
        <v>1.86312</v>
      </c>
      <c r="FJ37">
        <v>1.86508</v>
      </c>
      <c r="FK37">
        <v>1.86352</v>
      </c>
      <c r="FL37">
        <v>1.86342</v>
      </c>
      <c r="FM37">
        <v>1.86397</v>
      </c>
      <c r="FN37">
        <v>1.86047</v>
      </c>
      <c r="FO37">
        <v>1.86325</v>
      </c>
      <c r="FP37">
        <v>0</v>
      </c>
      <c r="FQ37">
        <v>0</v>
      </c>
      <c r="FR37">
        <v>0</v>
      </c>
      <c r="FS37">
        <v>0</v>
      </c>
      <c r="FT37" t="s">
        <v>356</v>
      </c>
      <c r="FU37" t="s">
        <v>357</v>
      </c>
      <c r="FV37" t="s">
        <v>358</v>
      </c>
      <c r="FW37" t="s">
        <v>358</v>
      </c>
      <c r="FX37" t="s">
        <v>358</v>
      </c>
      <c r="FY37" t="s">
        <v>358</v>
      </c>
      <c r="FZ37">
        <v>0</v>
      </c>
      <c r="GA37">
        <v>100</v>
      </c>
      <c r="GB37">
        <v>100</v>
      </c>
      <c r="GC37">
        <v>0.404</v>
      </c>
      <c r="GD37">
        <v>-0.188</v>
      </c>
      <c r="GE37">
        <v>0.6611888258133372</v>
      </c>
      <c r="GF37">
        <v>-0.001033730503750798</v>
      </c>
      <c r="GG37">
        <v>9.120241388950126E-07</v>
      </c>
      <c r="GH37">
        <v>-2.246115299815222E-10</v>
      </c>
      <c r="GI37">
        <v>-0.1752634552835202</v>
      </c>
      <c r="GJ37">
        <v>-0.01814858093373864</v>
      </c>
      <c r="GK37">
        <v>0.002091959988359369</v>
      </c>
      <c r="GL37">
        <v>-1.90871700788604E-05</v>
      </c>
      <c r="GM37">
        <v>2</v>
      </c>
      <c r="GN37">
        <v>2210</v>
      </c>
      <c r="GO37">
        <v>1</v>
      </c>
      <c r="GP37">
        <v>26</v>
      </c>
      <c r="GQ37">
        <v>1.2</v>
      </c>
      <c r="GR37">
        <v>11.4</v>
      </c>
      <c r="GS37">
        <v>1.26099</v>
      </c>
      <c r="GT37">
        <v>2.41821</v>
      </c>
      <c r="GU37">
        <v>2.34741</v>
      </c>
      <c r="GV37">
        <v>2.66724</v>
      </c>
      <c r="GW37">
        <v>2.39868</v>
      </c>
      <c r="GX37">
        <v>2.2583</v>
      </c>
      <c r="GY37">
        <v>36.2694</v>
      </c>
      <c r="GZ37">
        <v>15.9883</v>
      </c>
      <c r="HA37">
        <v>18</v>
      </c>
      <c r="HB37">
        <v>576.842</v>
      </c>
      <c r="HC37">
        <v>584.325</v>
      </c>
      <c r="HD37">
        <v>30.6812</v>
      </c>
      <c r="HE37">
        <v>29.5877</v>
      </c>
      <c r="HF37">
        <v>30.0002</v>
      </c>
      <c r="HG37">
        <v>29.3728</v>
      </c>
      <c r="HH37">
        <v>29.3228</v>
      </c>
      <c r="HI37">
        <v>25.3007</v>
      </c>
      <c r="HJ37">
        <v>100</v>
      </c>
      <c r="HK37">
        <v>0</v>
      </c>
      <c r="HL37">
        <v>-999.9</v>
      </c>
      <c r="HM37">
        <v>405</v>
      </c>
      <c r="HN37">
        <v>0</v>
      </c>
      <c r="HO37">
        <v>99.7204</v>
      </c>
      <c r="HP37">
        <v>99.8287</v>
      </c>
    </row>
    <row r="38" spans="1:224">
      <c r="A38">
        <v>22</v>
      </c>
      <c r="B38">
        <v>1751824849</v>
      </c>
      <c r="C38">
        <v>2462.400000095367</v>
      </c>
      <c r="D38" t="s">
        <v>419</v>
      </c>
      <c r="E38" t="s">
        <v>420</v>
      </c>
      <c r="F38">
        <v>15</v>
      </c>
      <c r="G38">
        <v>1751824841</v>
      </c>
      <c r="H38">
        <f>(I38)/1000</f>
        <v>0</v>
      </c>
      <c r="I38">
        <f>IF(BD38, AL38, AF38)</f>
        <v>0</v>
      </c>
      <c r="J38">
        <f>IF(BD38, AG38, AE38)</f>
        <v>0</v>
      </c>
      <c r="K38">
        <f>BF38 - IF(AS38&gt;1, J38*AZ38*100.0/(AU38), 0)</f>
        <v>0</v>
      </c>
      <c r="L38">
        <f>((R38-H38/2)*K38-J38)/(R38+H38/2)</f>
        <v>0</v>
      </c>
      <c r="M38">
        <f>L38*(BM38+BN38)/1000.0</f>
        <v>0</v>
      </c>
      <c r="N38">
        <f>(BF38 - IF(AS38&gt;1, J38*AZ38*100.0/(AU38), 0))*(BM38+BN38)/1000.0</f>
        <v>0</v>
      </c>
      <c r="O38">
        <f>2.0/((1/Q38-1/P38)+SIGN(Q38)*SQRT((1/Q38-1/P38)*(1/Q38-1/P38) + 4*BA38/((BA38+1)*(BA38+1))*(2*1/Q38*1/P38-1/P38*1/P38)))</f>
        <v>0</v>
      </c>
      <c r="P38">
        <f>IF(LEFT(BB38,1)&lt;&gt;"0",IF(LEFT(BB38,1)="1",3.0,BC38),$D$5+$E$5*(BT38*BM38/($K$5*1000))+$F$5*(BT38*BM38/($K$5*1000))*MAX(MIN(AZ38,$J$5),$I$5)*MAX(MIN(AZ38,$J$5),$I$5)+$G$5*MAX(MIN(AZ38,$J$5),$I$5)*(BT38*BM38/($K$5*1000))+$H$5*(BT38*BM38/($K$5*1000))*(BT38*BM38/($K$5*1000)))</f>
        <v>0</v>
      </c>
      <c r="Q38">
        <f>H38*(1000-(1000*0.61365*exp(17.502*U38/(240.97+U38))/(BM38+BN38)+BH38)/2)/(1000*0.61365*exp(17.502*U38/(240.97+U38))/(BM38+BN38)-BH38)</f>
        <v>0</v>
      </c>
      <c r="R38">
        <f>1/((BA38+1)/(O38/1.6)+1/(P38/1.37)) + BA38/((BA38+1)/(O38/1.6) + BA38/(P38/1.37))</f>
        <v>0</v>
      </c>
      <c r="S38">
        <f>(AV38*AY38)</f>
        <v>0</v>
      </c>
      <c r="T38">
        <f>(BO38+(S38+2*0.95*5.67E-8*(((BO38+$B$7)+273)^4-(BO38+273)^4)-44100*H38)/(1.84*29.3*P38+8*0.95*5.67E-8*(BO38+273)^3))</f>
        <v>0</v>
      </c>
      <c r="U38">
        <f>($C$7*BP38+$D$7*BQ38+$E$7*T38)</f>
        <v>0</v>
      </c>
      <c r="V38">
        <f>0.61365*exp(17.502*U38/(240.97+U38))</f>
        <v>0</v>
      </c>
      <c r="W38">
        <f>(X38/Y38*100)</f>
        <v>0</v>
      </c>
      <c r="X38">
        <f>BH38*(BM38+BN38)/1000</f>
        <v>0</v>
      </c>
      <c r="Y38">
        <f>0.61365*exp(17.502*BO38/(240.97+BO38))</f>
        <v>0</v>
      </c>
      <c r="Z38">
        <f>(V38-BH38*(BM38+BN38)/1000)</f>
        <v>0</v>
      </c>
      <c r="AA38">
        <f>(-H38*44100)</f>
        <v>0</v>
      </c>
      <c r="AB38">
        <f>2*29.3*P38*0.92*(BO38-U38)</f>
        <v>0</v>
      </c>
      <c r="AC38">
        <f>2*0.95*5.67E-8*(((BO38+$B$7)+273)^4-(U38+273)^4)</f>
        <v>0</v>
      </c>
      <c r="AD38">
        <f>S38+AC38+AA38+AB38</f>
        <v>0</v>
      </c>
      <c r="AE38">
        <f>BL38*AS38*(BG38-BF38*(1000-AS38*BI38)/(1000-AS38*BH38))/(100*AZ38)</f>
        <v>0</v>
      </c>
      <c r="AF38">
        <f>1000*BL38*AS38*(BH38-BI38)/(100*AZ38*(1000-AS38*BH38))</f>
        <v>0</v>
      </c>
      <c r="AG38">
        <f>(AH38 - AI38 - BM38*1E3/(8.314*(BO38+273.15)) * AK38/BL38 * AJ38) * BL38/(100*AZ38) * (1000 - BI38)/1000</f>
        <v>0</v>
      </c>
      <c r="AH38">
        <v>405.2063713299772</v>
      </c>
      <c r="AI38">
        <v>405.0315151515151</v>
      </c>
      <c r="AJ38">
        <v>-0.001207231776119944</v>
      </c>
      <c r="AK38">
        <v>66.94274596950784</v>
      </c>
      <c r="AL38">
        <f>(AN38 - AM38 + BM38*1E3/(8.314*(BO38+273.15)) * AP38/BL38 * AO38) * BL38/(100*AZ38) * 1000/(1000 - AN38)</f>
        <v>0</v>
      </c>
      <c r="AM38">
        <v>0.4739496641496021</v>
      </c>
      <c r="AN38">
        <v>0.9567612727272722</v>
      </c>
      <c r="AO38">
        <v>-0.0008668820038183991</v>
      </c>
      <c r="AP38">
        <v>79.98839987387655</v>
      </c>
      <c r="AQ38">
        <v>32</v>
      </c>
      <c r="AR38">
        <v>4</v>
      </c>
      <c r="AS38">
        <f>IF(AQ38*$H$13&gt;=AU38,1.0,(AU38/(AU38-AQ38*$H$13)))</f>
        <v>0</v>
      </c>
      <c r="AT38">
        <f>(AS38-1)*100</f>
        <v>0</v>
      </c>
      <c r="AU38">
        <f>MAX(0,($B$13+$C$13*BT38)/(1+$D$13*BT38)*BM38/(BO38+273)*$E$13)</f>
        <v>0</v>
      </c>
      <c r="AV38">
        <f>$B$11*BU38+$C$11*BV38+$F$11*CG38*(1-CJ38)</f>
        <v>0</v>
      </c>
      <c r="AW38">
        <f>AV38*AX38</f>
        <v>0</v>
      </c>
      <c r="AX38">
        <f>($B$11*$D$9+$C$11*$D$9+$F$11*((CT38+CL38)/MAX(CT38+CL38+CU38, 0.1)*$I$9+CU38/MAX(CT38+CL38+CU38, 0.1)*$J$9))/($B$11+$C$11+$F$11)</f>
        <v>0</v>
      </c>
      <c r="AY38">
        <f>($B$11*$K$9+$C$11*$K$9+$F$11*((CT38+CL38)/MAX(CT38+CL38+CU38, 0.1)*$P$9+CU38/MAX(CT38+CL38+CU38, 0.1)*$Q$9))/($B$11+$C$11+$F$11)</f>
        <v>0</v>
      </c>
      <c r="AZ38">
        <v>6</v>
      </c>
      <c r="BA38">
        <v>0.5</v>
      </c>
      <c r="BB38" t="s">
        <v>353</v>
      </c>
      <c r="BC38">
        <v>2</v>
      </c>
      <c r="BD38" t="b">
        <v>0</v>
      </c>
      <c r="BE38">
        <v>1751824841</v>
      </c>
      <c r="BF38">
        <v>404.6027741935484</v>
      </c>
      <c r="BG38">
        <v>405.0042580645161</v>
      </c>
      <c r="BH38">
        <v>1.001847741935484</v>
      </c>
      <c r="BI38">
        <v>0.4733327419354837</v>
      </c>
      <c r="BJ38">
        <v>404.2257741935484</v>
      </c>
      <c r="BK38">
        <v>1.184847741935484</v>
      </c>
      <c r="BL38">
        <v>799.9923225806451</v>
      </c>
      <c r="BM38">
        <v>101.3567741935484</v>
      </c>
      <c r="BN38">
        <v>0.1001166774193548</v>
      </c>
      <c r="BO38">
        <v>31.26666451612903</v>
      </c>
      <c r="BP38">
        <v>31.47477096774194</v>
      </c>
      <c r="BQ38">
        <v>999.9000000000003</v>
      </c>
      <c r="BR38">
        <v>0</v>
      </c>
      <c r="BS38">
        <v>0</v>
      </c>
      <c r="BT38">
        <v>9992.624193548387</v>
      </c>
      <c r="BU38">
        <v>0</v>
      </c>
      <c r="BV38">
        <v>0.00152894</v>
      </c>
      <c r="BW38">
        <v>-0.3740628387096774</v>
      </c>
      <c r="BX38">
        <v>405.031064516129</v>
      </c>
      <c r="BY38">
        <v>405.1961290322579</v>
      </c>
      <c r="BZ38">
        <v>0.5161961612903226</v>
      </c>
      <c r="CA38">
        <v>405.0042580645161</v>
      </c>
      <c r="CB38">
        <v>0.4733327419354837</v>
      </c>
      <c r="CC38">
        <v>0.1002954612903226</v>
      </c>
      <c r="CD38">
        <v>0.04797549032258065</v>
      </c>
      <c r="CE38">
        <v>-22.60191935483871</v>
      </c>
      <c r="CF38">
        <v>-30.63072903225806</v>
      </c>
      <c r="CG38">
        <v>999.9867741935483</v>
      </c>
      <c r="CH38">
        <v>0.9600039032258063</v>
      </c>
      <c r="CI38">
        <v>0.03999609677419354</v>
      </c>
      <c r="CJ38">
        <v>0</v>
      </c>
      <c r="CK38">
        <v>0.5066129032258065</v>
      </c>
      <c r="CL38">
        <v>0</v>
      </c>
      <c r="CM38">
        <v>5548.80870967742</v>
      </c>
      <c r="CN38">
        <v>7946.820967741937</v>
      </c>
      <c r="CO38">
        <v>36.006</v>
      </c>
      <c r="CP38">
        <v>39</v>
      </c>
      <c r="CQ38">
        <v>37.18699999999998</v>
      </c>
      <c r="CR38">
        <v>38.25</v>
      </c>
      <c r="CS38">
        <v>36.81199999999998</v>
      </c>
      <c r="CT38">
        <v>959.9912903225805</v>
      </c>
      <c r="CU38">
        <v>39.99548387096775</v>
      </c>
      <c r="CV38">
        <v>0</v>
      </c>
      <c r="CW38">
        <v>1751824867.5</v>
      </c>
      <c r="CX38">
        <v>0</v>
      </c>
      <c r="CY38">
        <v>1751824868</v>
      </c>
      <c r="CZ38" t="s">
        <v>421</v>
      </c>
      <c r="DA38">
        <v>1751824865.5</v>
      </c>
      <c r="DB38">
        <v>1751824868</v>
      </c>
      <c r="DC38">
        <v>21</v>
      </c>
      <c r="DD38">
        <v>-0.027</v>
      </c>
      <c r="DE38">
        <v>0.005</v>
      </c>
      <c r="DF38">
        <v>0.377</v>
      </c>
      <c r="DG38">
        <v>-0.183</v>
      </c>
      <c r="DH38">
        <v>405</v>
      </c>
      <c r="DI38">
        <v>0</v>
      </c>
      <c r="DJ38">
        <v>0.36</v>
      </c>
      <c r="DK38">
        <v>0.14</v>
      </c>
      <c r="DL38">
        <v>-0.3735701707317073</v>
      </c>
      <c r="DM38">
        <v>0.05374358885017361</v>
      </c>
      <c r="DN38">
        <v>0.02707167496318457</v>
      </c>
      <c r="DO38">
        <v>1</v>
      </c>
      <c r="DP38">
        <v>0.5349916829268293</v>
      </c>
      <c r="DQ38">
        <v>-0.3563115261324037</v>
      </c>
      <c r="DR38">
        <v>0.03549763298906413</v>
      </c>
      <c r="DS38">
        <v>0</v>
      </c>
      <c r="DT38">
        <v>1</v>
      </c>
      <c r="DU38">
        <v>2</v>
      </c>
      <c r="DV38" t="s">
        <v>355</v>
      </c>
      <c r="DW38">
        <v>3.44145</v>
      </c>
      <c r="DX38">
        <v>2.78081</v>
      </c>
      <c r="DY38">
        <v>0.09612569999999999</v>
      </c>
      <c r="DZ38">
        <v>0.09620339999999999</v>
      </c>
      <c r="EA38">
        <v>0.009406370000000001</v>
      </c>
      <c r="EB38">
        <v>0.00411427</v>
      </c>
      <c r="EC38">
        <v>27003.3</v>
      </c>
      <c r="ED38">
        <v>30724</v>
      </c>
      <c r="EE38">
        <v>29037</v>
      </c>
      <c r="EF38">
        <v>34602.9</v>
      </c>
      <c r="EG38">
        <v>33294.5</v>
      </c>
      <c r="EH38">
        <v>42647</v>
      </c>
      <c r="EI38">
        <v>35750.8</v>
      </c>
      <c r="EJ38">
        <v>45644.1</v>
      </c>
      <c r="EK38">
        <v>2.40258</v>
      </c>
      <c r="EL38">
        <v>2.07227</v>
      </c>
      <c r="EM38">
        <v>0.088051</v>
      </c>
      <c r="EN38">
        <v>0</v>
      </c>
      <c r="EO38">
        <v>30.0621</v>
      </c>
      <c r="EP38">
        <v>999.9</v>
      </c>
      <c r="EQ38">
        <v>44.5</v>
      </c>
      <c r="ER38">
        <v>31.4</v>
      </c>
      <c r="ES38">
        <v>20.2613</v>
      </c>
      <c r="ET38">
        <v>61.8302</v>
      </c>
      <c r="EU38">
        <v>25.9335</v>
      </c>
      <c r="EV38">
        <v>2</v>
      </c>
      <c r="EW38">
        <v>0.143745</v>
      </c>
      <c r="EX38">
        <v>0</v>
      </c>
      <c r="EY38">
        <v>20.2907</v>
      </c>
      <c r="EZ38">
        <v>5.20666</v>
      </c>
      <c r="FA38">
        <v>11.974</v>
      </c>
      <c r="FB38">
        <v>4.9895</v>
      </c>
      <c r="FC38">
        <v>3.272</v>
      </c>
      <c r="FD38">
        <v>3875.5</v>
      </c>
      <c r="FE38">
        <v>9999</v>
      </c>
      <c r="FF38">
        <v>9999</v>
      </c>
      <c r="FG38">
        <v>999.9</v>
      </c>
      <c r="FH38">
        <v>4.97266</v>
      </c>
      <c r="FI38">
        <v>1.86316</v>
      </c>
      <c r="FJ38">
        <v>1.86508</v>
      </c>
      <c r="FK38">
        <v>1.86356</v>
      </c>
      <c r="FL38">
        <v>1.86352</v>
      </c>
      <c r="FM38">
        <v>1.86401</v>
      </c>
      <c r="FN38">
        <v>1.8605</v>
      </c>
      <c r="FO38">
        <v>1.86325</v>
      </c>
      <c r="FP38">
        <v>0</v>
      </c>
      <c r="FQ38">
        <v>0</v>
      </c>
      <c r="FR38">
        <v>0</v>
      </c>
      <c r="FS38">
        <v>0</v>
      </c>
      <c r="FT38" t="s">
        <v>356</v>
      </c>
      <c r="FU38" t="s">
        <v>357</v>
      </c>
      <c r="FV38" t="s">
        <v>358</v>
      </c>
      <c r="FW38" t="s">
        <v>358</v>
      </c>
      <c r="FX38" t="s">
        <v>358</v>
      </c>
      <c r="FY38" t="s">
        <v>358</v>
      </c>
      <c r="FZ38">
        <v>0</v>
      </c>
      <c r="GA38">
        <v>100</v>
      </c>
      <c r="GB38">
        <v>100</v>
      </c>
      <c r="GC38">
        <v>0.377</v>
      </c>
      <c r="GD38">
        <v>-0.183</v>
      </c>
      <c r="GE38">
        <v>0.6881263006057172</v>
      </c>
      <c r="GF38">
        <v>-0.001033730503750798</v>
      </c>
      <c r="GG38">
        <v>9.120241388950126E-07</v>
      </c>
      <c r="GH38">
        <v>-2.246115299815222E-10</v>
      </c>
      <c r="GI38">
        <v>-0.176721693079401</v>
      </c>
      <c r="GJ38">
        <v>-0.01814858093373864</v>
      </c>
      <c r="GK38">
        <v>0.002091959988359369</v>
      </c>
      <c r="GL38">
        <v>-1.90871700788604E-05</v>
      </c>
      <c r="GM38">
        <v>2</v>
      </c>
      <c r="GN38">
        <v>2210</v>
      </c>
      <c r="GO38">
        <v>1</v>
      </c>
      <c r="GP38">
        <v>26</v>
      </c>
      <c r="GQ38">
        <v>2.1</v>
      </c>
      <c r="GR38">
        <v>1.9</v>
      </c>
      <c r="GS38">
        <v>1.26221</v>
      </c>
      <c r="GT38">
        <v>2.41943</v>
      </c>
      <c r="GU38">
        <v>2.34741</v>
      </c>
      <c r="GV38">
        <v>2.65869</v>
      </c>
      <c r="GW38">
        <v>2.39868</v>
      </c>
      <c r="GX38">
        <v>2.25708</v>
      </c>
      <c r="GY38">
        <v>36.4814</v>
      </c>
      <c r="GZ38">
        <v>15.9708</v>
      </c>
      <c r="HA38">
        <v>18</v>
      </c>
      <c r="HB38">
        <v>792.893</v>
      </c>
      <c r="HC38">
        <v>581.691</v>
      </c>
      <c r="HD38">
        <v>30.813</v>
      </c>
      <c r="HE38">
        <v>29.6819</v>
      </c>
      <c r="HF38">
        <v>30.0006</v>
      </c>
      <c r="HG38">
        <v>29.4577</v>
      </c>
      <c r="HH38">
        <v>29.4215</v>
      </c>
      <c r="HI38">
        <v>25.3077</v>
      </c>
      <c r="HJ38">
        <v>100</v>
      </c>
      <c r="HK38">
        <v>0</v>
      </c>
      <c r="HL38">
        <v>-999.9</v>
      </c>
      <c r="HM38">
        <v>405</v>
      </c>
      <c r="HN38">
        <v>0</v>
      </c>
      <c r="HO38">
        <v>99.7064</v>
      </c>
      <c r="HP38">
        <v>99.81440000000001</v>
      </c>
    </row>
    <row r="39" spans="1:224">
      <c r="A39">
        <v>23</v>
      </c>
      <c r="B39">
        <v>1751824967.6</v>
      </c>
      <c r="C39">
        <v>2581</v>
      </c>
      <c r="D39" t="s">
        <v>422</v>
      </c>
      <c r="E39" t="s">
        <v>423</v>
      </c>
      <c r="F39">
        <v>15</v>
      </c>
      <c r="G39">
        <v>1751824959.849999</v>
      </c>
      <c r="H39">
        <f>(I39)/1000</f>
        <v>0</v>
      </c>
      <c r="I39">
        <f>IF(BD39, AL39, AF39)</f>
        <v>0</v>
      </c>
      <c r="J39">
        <f>IF(BD39, AG39, AE39)</f>
        <v>0</v>
      </c>
      <c r="K39">
        <f>BF39 - IF(AS39&gt;1, J39*AZ39*100.0/(AU39), 0)</f>
        <v>0</v>
      </c>
      <c r="L39">
        <f>((R39-H39/2)*K39-J39)/(R39+H39/2)</f>
        <v>0</v>
      </c>
      <c r="M39">
        <f>L39*(BM39+BN39)/1000.0</f>
        <v>0</v>
      </c>
      <c r="N39">
        <f>(BF39 - IF(AS39&gt;1, J39*AZ39*100.0/(AU39), 0))*(BM39+BN39)/1000.0</f>
        <v>0</v>
      </c>
      <c r="O39">
        <f>2.0/((1/Q39-1/P39)+SIGN(Q39)*SQRT((1/Q39-1/P39)*(1/Q39-1/P39) + 4*BA39/((BA39+1)*(BA39+1))*(2*1/Q39*1/P39-1/P39*1/P39)))</f>
        <v>0</v>
      </c>
      <c r="P39">
        <f>IF(LEFT(BB39,1)&lt;&gt;"0",IF(LEFT(BB39,1)="1",3.0,BC39),$D$5+$E$5*(BT39*BM39/($K$5*1000))+$F$5*(BT39*BM39/($K$5*1000))*MAX(MIN(AZ39,$J$5),$I$5)*MAX(MIN(AZ39,$J$5),$I$5)+$G$5*MAX(MIN(AZ39,$J$5),$I$5)*(BT39*BM39/($K$5*1000))+$H$5*(BT39*BM39/($K$5*1000))*(BT39*BM39/($K$5*1000)))</f>
        <v>0</v>
      </c>
      <c r="Q39">
        <f>H39*(1000-(1000*0.61365*exp(17.502*U39/(240.97+U39))/(BM39+BN39)+BH39)/2)/(1000*0.61365*exp(17.502*U39/(240.97+U39))/(BM39+BN39)-BH39)</f>
        <v>0</v>
      </c>
      <c r="R39">
        <f>1/((BA39+1)/(O39/1.6)+1/(P39/1.37)) + BA39/((BA39+1)/(O39/1.6) + BA39/(P39/1.37))</f>
        <v>0</v>
      </c>
      <c r="S39">
        <f>(AV39*AY39)</f>
        <v>0</v>
      </c>
      <c r="T39">
        <f>(BO39+(S39+2*0.95*5.67E-8*(((BO39+$B$7)+273)^4-(BO39+273)^4)-44100*H39)/(1.84*29.3*P39+8*0.95*5.67E-8*(BO39+273)^3))</f>
        <v>0</v>
      </c>
      <c r="U39">
        <f>($C$7*BP39+$D$7*BQ39+$E$7*T39)</f>
        <v>0</v>
      </c>
      <c r="V39">
        <f>0.61365*exp(17.502*U39/(240.97+U39))</f>
        <v>0</v>
      </c>
      <c r="W39">
        <f>(X39/Y39*100)</f>
        <v>0</v>
      </c>
      <c r="X39">
        <f>BH39*(BM39+BN39)/1000</f>
        <v>0</v>
      </c>
      <c r="Y39">
        <f>0.61365*exp(17.502*BO39/(240.97+BO39))</f>
        <v>0</v>
      </c>
      <c r="Z39">
        <f>(V39-BH39*(BM39+BN39)/1000)</f>
        <v>0</v>
      </c>
      <c r="AA39">
        <f>(-H39*44100)</f>
        <v>0</v>
      </c>
      <c r="AB39">
        <f>2*29.3*P39*0.92*(BO39-U39)</f>
        <v>0</v>
      </c>
      <c r="AC39">
        <f>2*0.95*5.67E-8*(((BO39+$B$7)+273)^4-(U39+273)^4)</f>
        <v>0</v>
      </c>
      <c r="AD39">
        <f>S39+AC39+AA39+AB39</f>
        <v>0</v>
      </c>
      <c r="AE39">
        <f>BL39*AS39*(BG39-BF39*(1000-AS39*BI39)/(1000-AS39*BH39))/(100*AZ39)</f>
        <v>0</v>
      </c>
      <c r="AF39">
        <f>1000*BL39*AS39*(BH39-BI39)/(100*AZ39*(1000-AS39*BH39))</f>
        <v>0</v>
      </c>
      <c r="AG39">
        <f>(AH39 - AI39 - BM39*1E3/(8.314*(BO39+273.15)) * AK39/BL39 * AJ39) * BL39/(100*AZ39) * (1000 - BI39)/1000</f>
        <v>0</v>
      </c>
      <c r="AH39">
        <v>405.1636491435729</v>
      </c>
      <c r="AI39">
        <v>401.3289393939392</v>
      </c>
      <c r="AJ39">
        <v>-0.0001415075753958189</v>
      </c>
      <c r="AK39">
        <v>66.94237250868768</v>
      </c>
      <c r="AL39">
        <f>(AN39 - AM39 + BM39*1E3/(8.314*(BO39+273.15)) * AP39/BL39 * AO39) * BL39/(100*AZ39) * 1000/(1000 - AN39)</f>
        <v>0</v>
      </c>
      <c r="AM39">
        <v>0.4824472522264001</v>
      </c>
      <c r="AN39">
        <v>2.639495212121211</v>
      </c>
      <c r="AO39">
        <v>-8.424874160657076E-05</v>
      </c>
      <c r="AP39">
        <v>79.96546276008257</v>
      </c>
      <c r="AQ39">
        <v>150</v>
      </c>
      <c r="AR39">
        <v>19</v>
      </c>
      <c r="AS39">
        <f>IF(AQ39*$H$13&gt;=AU39,1.0,(AU39/(AU39-AQ39*$H$13)))</f>
        <v>0</v>
      </c>
      <c r="AT39">
        <f>(AS39-1)*100</f>
        <v>0</v>
      </c>
      <c r="AU39">
        <f>MAX(0,($B$13+$C$13*BT39)/(1+$D$13*BT39)*BM39/(BO39+273)*$E$13)</f>
        <v>0</v>
      </c>
      <c r="AV39">
        <f>$B$11*BU39+$C$11*BV39+$F$11*CG39*(1-CJ39)</f>
        <v>0</v>
      </c>
      <c r="AW39">
        <f>AV39*AX39</f>
        <v>0</v>
      </c>
      <c r="AX39">
        <f>($B$11*$D$9+$C$11*$D$9+$F$11*((CT39+CL39)/MAX(CT39+CL39+CU39, 0.1)*$I$9+CU39/MAX(CT39+CL39+CU39, 0.1)*$J$9))/($B$11+$C$11+$F$11)</f>
        <v>0</v>
      </c>
      <c r="AY39">
        <f>($B$11*$K$9+$C$11*$K$9+$F$11*((CT39+CL39)/MAX(CT39+CL39+CU39, 0.1)*$P$9+CU39/MAX(CT39+CL39+CU39, 0.1)*$Q$9))/($B$11+$C$11+$F$11)</f>
        <v>0</v>
      </c>
      <c r="AZ39">
        <v>6</v>
      </c>
      <c r="BA39">
        <v>0.5</v>
      </c>
      <c r="BB39" t="s">
        <v>353</v>
      </c>
      <c r="BC39">
        <v>2</v>
      </c>
      <c r="BD39" t="b">
        <v>0</v>
      </c>
      <c r="BE39">
        <v>1751824959.849999</v>
      </c>
      <c r="BF39">
        <v>400.2184333333334</v>
      </c>
      <c r="BG39">
        <v>404.9850666666667</v>
      </c>
      <c r="BH39">
        <v>2.649768</v>
      </c>
      <c r="BI39">
        <v>0.4821397666666666</v>
      </c>
      <c r="BJ39">
        <v>399.8654333333334</v>
      </c>
      <c r="BK39">
        <v>2.857007666666666</v>
      </c>
      <c r="BL39">
        <v>799.9943000000001</v>
      </c>
      <c r="BM39">
        <v>101.3562666666666</v>
      </c>
      <c r="BN39">
        <v>0.09985982333333333</v>
      </c>
      <c r="BO39">
        <v>31.45801</v>
      </c>
      <c r="BP39">
        <v>31.82812333333333</v>
      </c>
      <c r="BQ39">
        <v>999.9000000000002</v>
      </c>
      <c r="BR39">
        <v>0</v>
      </c>
      <c r="BS39">
        <v>0</v>
      </c>
      <c r="BT39">
        <v>10015.42266666667</v>
      </c>
      <c r="BU39">
        <v>0</v>
      </c>
      <c r="BV39">
        <v>0.00152894</v>
      </c>
      <c r="BW39">
        <v>-4.740428333333333</v>
      </c>
      <c r="BX39">
        <v>401.3079666666666</v>
      </c>
      <c r="BY39">
        <v>405.1803666666667</v>
      </c>
      <c r="BZ39">
        <v>2.167628333333333</v>
      </c>
      <c r="CA39">
        <v>404.9850666666667</v>
      </c>
      <c r="CB39">
        <v>0.4821397666666666</v>
      </c>
      <c r="CC39">
        <v>0.2685706999999999</v>
      </c>
      <c r="CD39">
        <v>0.04886791333333332</v>
      </c>
      <c r="CE39">
        <v>-10.86388333333333</v>
      </c>
      <c r="CF39">
        <v>-30.43721</v>
      </c>
      <c r="CG39">
        <v>999.9842333333335</v>
      </c>
      <c r="CH39">
        <v>0.9599918666666666</v>
      </c>
      <c r="CI39">
        <v>0.04000813333333333</v>
      </c>
      <c r="CJ39">
        <v>0</v>
      </c>
      <c r="CK39">
        <v>2.904</v>
      </c>
      <c r="CL39">
        <v>0</v>
      </c>
      <c r="CM39">
        <v>7261.512</v>
      </c>
      <c r="CN39">
        <v>7946.759999999999</v>
      </c>
      <c r="CO39">
        <v>36.25</v>
      </c>
      <c r="CP39">
        <v>39.25</v>
      </c>
      <c r="CQ39">
        <v>37.375</v>
      </c>
      <c r="CR39">
        <v>38.52479999999999</v>
      </c>
      <c r="CS39">
        <v>37.04546666666666</v>
      </c>
      <c r="CT39">
        <v>959.9756666666669</v>
      </c>
      <c r="CU39">
        <v>40.00933333333333</v>
      </c>
      <c r="CV39">
        <v>0</v>
      </c>
      <c r="CW39">
        <v>1751824986.3</v>
      </c>
      <c r="CX39">
        <v>0</v>
      </c>
      <c r="CY39">
        <v>1751824984.6</v>
      </c>
      <c r="CZ39" t="s">
        <v>424</v>
      </c>
      <c r="DA39">
        <v>1751824984.6</v>
      </c>
      <c r="DB39">
        <v>1751824868</v>
      </c>
      <c r="DC39">
        <v>22</v>
      </c>
      <c r="DD39">
        <v>-0.024</v>
      </c>
      <c r="DE39">
        <v>0.005</v>
      </c>
      <c r="DF39">
        <v>0.353</v>
      </c>
      <c r="DG39">
        <v>-0.183</v>
      </c>
      <c r="DH39">
        <v>405</v>
      </c>
      <c r="DI39">
        <v>0</v>
      </c>
      <c r="DJ39">
        <v>0.21</v>
      </c>
      <c r="DK39">
        <v>0.14</v>
      </c>
      <c r="DL39">
        <v>-4.746952</v>
      </c>
      <c r="DM39">
        <v>0.06314746716699572</v>
      </c>
      <c r="DN39">
        <v>0.02793275892209721</v>
      </c>
      <c r="DO39">
        <v>1</v>
      </c>
      <c r="DP39">
        <v>2.17394475</v>
      </c>
      <c r="DQ39">
        <v>-0.105582551594751</v>
      </c>
      <c r="DR39">
        <v>0.01020868306577785</v>
      </c>
      <c r="DS39">
        <v>0</v>
      </c>
      <c r="DT39">
        <v>1</v>
      </c>
      <c r="DU39">
        <v>2</v>
      </c>
      <c r="DV39" t="s">
        <v>355</v>
      </c>
      <c r="DW39">
        <v>3.4417</v>
      </c>
      <c r="DX39">
        <v>2.78062</v>
      </c>
      <c r="DY39">
        <v>0.0953118</v>
      </c>
      <c r="DZ39">
        <v>0.0961689</v>
      </c>
      <c r="EA39">
        <v>0.0216549</v>
      </c>
      <c r="EB39">
        <v>0.00418323</v>
      </c>
      <c r="EC39">
        <v>27020.3</v>
      </c>
      <c r="ED39">
        <v>30717</v>
      </c>
      <c r="EE39">
        <v>29029.5</v>
      </c>
      <c r="EF39">
        <v>34594.4</v>
      </c>
      <c r="EG39">
        <v>32872.7</v>
      </c>
      <c r="EH39">
        <v>42632.8</v>
      </c>
      <c r="EI39">
        <v>35740.4</v>
      </c>
      <c r="EJ39">
        <v>45632.2</v>
      </c>
      <c r="EK39">
        <v>2.22113</v>
      </c>
      <c r="EL39">
        <v>2.06857</v>
      </c>
      <c r="EM39">
        <v>0.09676070000000001</v>
      </c>
      <c r="EN39">
        <v>0</v>
      </c>
      <c r="EO39">
        <v>30.2945</v>
      </c>
      <c r="EP39">
        <v>999.9</v>
      </c>
      <c r="EQ39">
        <v>44.1</v>
      </c>
      <c r="ER39">
        <v>31.6</v>
      </c>
      <c r="ES39">
        <v>20.3113</v>
      </c>
      <c r="ET39">
        <v>61.9156</v>
      </c>
      <c r="EU39">
        <v>25.9295</v>
      </c>
      <c r="EV39">
        <v>2</v>
      </c>
      <c r="EW39">
        <v>0.155625</v>
      </c>
      <c r="EX39">
        <v>0</v>
      </c>
      <c r="EY39">
        <v>20.2907</v>
      </c>
      <c r="EZ39">
        <v>5.2095</v>
      </c>
      <c r="FA39">
        <v>11.974</v>
      </c>
      <c r="FB39">
        <v>4.98905</v>
      </c>
      <c r="FC39">
        <v>3.272</v>
      </c>
      <c r="FD39">
        <v>3878.9</v>
      </c>
      <c r="FE39">
        <v>9999</v>
      </c>
      <c r="FF39">
        <v>9999</v>
      </c>
      <c r="FG39">
        <v>999.9</v>
      </c>
      <c r="FH39">
        <v>4.97262</v>
      </c>
      <c r="FI39">
        <v>1.86318</v>
      </c>
      <c r="FJ39">
        <v>1.86508</v>
      </c>
      <c r="FK39">
        <v>1.86356</v>
      </c>
      <c r="FL39">
        <v>1.86355</v>
      </c>
      <c r="FM39">
        <v>1.86401</v>
      </c>
      <c r="FN39">
        <v>1.8605</v>
      </c>
      <c r="FO39">
        <v>1.86325</v>
      </c>
      <c r="FP39">
        <v>0</v>
      </c>
      <c r="FQ39">
        <v>0</v>
      </c>
      <c r="FR39">
        <v>0</v>
      </c>
      <c r="FS39">
        <v>0</v>
      </c>
      <c r="FT39" t="s">
        <v>356</v>
      </c>
      <c r="FU39" t="s">
        <v>357</v>
      </c>
      <c r="FV39" t="s">
        <v>358</v>
      </c>
      <c r="FW39" t="s">
        <v>358</v>
      </c>
      <c r="FX39" t="s">
        <v>358</v>
      </c>
      <c r="FY39" t="s">
        <v>358</v>
      </c>
      <c r="FZ39">
        <v>0</v>
      </c>
      <c r="GA39">
        <v>100</v>
      </c>
      <c r="GB39">
        <v>100</v>
      </c>
      <c r="GC39">
        <v>0.353</v>
      </c>
      <c r="GD39">
        <v>-0.2072</v>
      </c>
      <c r="GE39">
        <v>0.6610042101864717</v>
      </c>
      <c r="GF39">
        <v>-0.001033730503750798</v>
      </c>
      <c r="GG39">
        <v>9.120241388950126E-07</v>
      </c>
      <c r="GH39">
        <v>-2.246115299815222E-10</v>
      </c>
      <c r="GI39">
        <v>-0.1720191583529933</v>
      </c>
      <c r="GJ39">
        <v>-0.01814858093373864</v>
      </c>
      <c r="GK39">
        <v>0.002091959988359369</v>
      </c>
      <c r="GL39">
        <v>-1.90871700788604E-05</v>
      </c>
      <c r="GM39">
        <v>2</v>
      </c>
      <c r="GN39">
        <v>2210</v>
      </c>
      <c r="GO39">
        <v>1</v>
      </c>
      <c r="GP39">
        <v>26</v>
      </c>
      <c r="GQ39">
        <v>1.7</v>
      </c>
      <c r="GR39">
        <v>1.7</v>
      </c>
      <c r="GS39">
        <v>1.26221</v>
      </c>
      <c r="GT39">
        <v>2.41699</v>
      </c>
      <c r="GU39">
        <v>2.34741</v>
      </c>
      <c r="GV39">
        <v>2.66235</v>
      </c>
      <c r="GW39">
        <v>2.39868</v>
      </c>
      <c r="GX39">
        <v>2.30713</v>
      </c>
      <c r="GY39">
        <v>36.6706</v>
      </c>
      <c r="GZ39">
        <v>15.962</v>
      </c>
      <c r="HA39">
        <v>18</v>
      </c>
      <c r="HB39">
        <v>648.859</v>
      </c>
      <c r="HC39">
        <v>580.215</v>
      </c>
      <c r="HD39">
        <v>30.9477</v>
      </c>
      <c r="HE39">
        <v>29.8405</v>
      </c>
      <c r="HF39">
        <v>30.0004</v>
      </c>
      <c r="HG39">
        <v>29.6056</v>
      </c>
      <c r="HH39">
        <v>29.5551</v>
      </c>
      <c r="HI39">
        <v>25.3158</v>
      </c>
      <c r="HJ39">
        <v>100</v>
      </c>
      <c r="HK39">
        <v>0</v>
      </c>
      <c r="HL39">
        <v>-999.9</v>
      </c>
      <c r="HM39">
        <v>405</v>
      </c>
      <c r="HN39">
        <v>0</v>
      </c>
      <c r="HO39">
        <v>99.6788</v>
      </c>
      <c r="HP39">
        <v>99.789</v>
      </c>
    </row>
    <row r="40" spans="1:224">
      <c r="A40">
        <v>24</v>
      </c>
      <c r="B40">
        <v>1751825073.6</v>
      </c>
      <c r="C40">
        <v>2687</v>
      </c>
      <c r="D40" t="s">
        <v>425</v>
      </c>
      <c r="E40" t="s">
        <v>426</v>
      </c>
      <c r="F40">
        <v>15</v>
      </c>
      <c r="G40">
        <v>1751825065.599999</v>
      </c>
      <c r="H40">
        <f>(I40)/1000</f>
        <v>0</v>
      </c>
      <c r="I40">
        <f>IF(BD40, AL40, AF40)</f>
        <v>0</v>
      </c>
      <c r="J40">
        <f>IF(BD40, AG40, AE40)</f>
        <v>0</v>
      </c>
      <c r="K40">
        <f>BF40 - IF(AS40&gt;1, J40*AZ40*100.0/(AU40), 0)</f>
        <v>0</v>
      </c>
      <c r="L40">
        <f>((R40-H40/2)*K40-J40)/(R40+H40/2)</f>
        <v>0</v>
      </c>
      <c r="M40">
        <f>L40*(BM40+BN40)/1000.0</f>
        <v>0</v>
      </c>
      <c r="N40">
        <f>(BF40 - IF(AS40&gt;1, J40*AZ40*100.0/(AU40), 0))*(BM40+BN40)/1000.0</f>
        <v>0</v>
      </c>
      <c r="O40">
        <f>2.0/((1/Q40-1/P40)+SIGN(Q40)*SQRT((1/Q40-1/P40)*(1/Q40-1/P40) + 4*BA40/((BA40+1)*(BA40+1))*(2*1/Q40*1/P40-1/P40*1/P40)))</f>
        <v>0</v>
      </c>
      <c r="P40">
        <f>IF(LEFT(BB40,1)&lt;&gt;"0",IF(LEFT(BB40,1)="1",3.0,BC40),$D$5+$E$5*(BT40*BM40/($K$5*1000))+$F$5*(BT40*BM40/($K$5*1000))*MAX(MIN(AZ40,$J$5),$I$5)*MAX(MIN(AZ40,$J$5),$I$5)+$G$5*MAX(MIN(AZ40,$J$5),$I$5)*(BT40*BM40/($K$5*1000))+$H$5*(BT40*BM40/($K$5*1000))*(BT40*BM40/($K$5*1000)))</f>
        <v>0</v>
      </c>
      <c r="Q40">
        <f>H40*(1000-(1000*0.61365*exp(17.502*U40/(240.97+U40))/(BM40+BN40)+BH40)/2)/(1000*0.61365*exp(17.502*U40/(240.97+U40))/(BM40+BN40)-BH40)</f>
        <v>0</v>
      </c>
      <c r="R40">
        <f>1/((BA40+1)/(O40/1.6)+1/(P40/1.37)) + BA40/((BA40+1)/(O40/1.6) + BA40/(P40/1.37))</f>
        <v>0</v>
      </c>
      <c r="S40">
        <f>(AV40*AY40)</f>
        <v>0</v>
      </c>
      <c r="T40">
        <f>(BO40+(S40+2*0.95*5.67E-8*(((BO40+$B$7)+273)^4-(BO40+273)^4)-44100*H40)/(1.84*29.3*P40+8*0.95*5.67E-8*(BO40+273)^3))</f>
        <v>0</v>
      </c>
      <c r="U40">
        <f>($C$7*BP40+$D$7*BQ40+$E$7*T40)</f>
        <v>0</v>
      </c>
      <c r="V40">
        <f>0.61365*exp(17.502*U40/(240.97+U40))</f>
        <v>0</v>
      </c>
      <c r="W40">
        <f>(X40/Y40*100)</f>
        <v>0</v>
      </c>
      <c r="X40">
        <f>BH40*(BM40+BN40)/1000</f>
        <v>0</v>
      </c>
      <c r="Y40">
        <f>0.61365*exp(17.502*BO40/(240.97+BO40))</f>
        <v>0</v>
      </c>
      <c r="Z40">
        <f>(V40-BH40*(BM40+BN40)/1000)</f>
        <v>0</v>
      </c>
      <c r="AA40">
        <f>(-H40*44100)</f>
        <v>0</v>
      </c>
      <c r="AB40">
        <f>2*29.3*P40*0.92*(BO40-U40)</f>
        <v>0</v>
      </c>
      <c r="AC40">
        <f>2*0.95*5.67E-8*(((BO40+$B$7)+273)^4-(U40+273)^4)</f>
        <v>0</v>
      </c>
      <c r="AD40">
        <f>S40+AC40+AA40+AB40</f>
        <v>0</v>
      </c>
      <c r="AE40">
        <f>BL40*AS40*(BG40-BF40*(1000-AS40*BI40)/(1000-AS40*BH40))/(100*AZ40)</f>
        <v>0</v>
      </c>
      <c r="AF40">
        <f>1000*BL40*AS40*(BH40-BI40)/(100*AZ40*(1000-AS40*BH40))</f>
        <v>0</v>
      </c>
      <c r="AG40">
        <f>(AH40 - AI40 - BM40*1E3/(8.314*(BO40+273.15)) * AK40/BL40 * AJ40) * BL40/(100*AZ40) * (1000 - BI40)/1000</f>
        <v>0</v>
      </c>
      <c r="AH40">
        <v>405.2234632042884</v>
      </c>
      <c r="AI40">
        <v>403.8026181818182</v>
      </c>
      <c r="AJ40">
        <v>0.000436083796405084</v>
      </c>
      <c r="AK40">
        <v>66.94307170436294</v>
      </c>
      <c r="AL40">
        <f>(AN40 - AM40 + BM40*1E3/(8.314*(BO40+273.15)) * AP40/BL40 * AO40) * BL40/(100*AZ40) * 1000/(1000 - AN40)</f>
        <v>0</v>
      </c>
      <c r="AM40">
        <v>0.4928427524089342</v>
      </c>
      <c r="AN40">
        <v>1.841051757575756</v>
      </c>
      <c r="AO40">
        <v>-0.00768448166562151</v>
      </c>
      <c r="AP40">
        <v>79.99428363666357</v>
      </c>
      <c r="AQ40">
        <v>431</v>
      </c>
      <c r="AR40">
        <v>54</v>
      </c>
      <c r="AS40">
        <f>IF(AQ40*$H$13&gt;=AU40,1.0,(AU40/(AU40-AQ40*$H$13)))</f>
        <v>0</v>
      </c>
      <c r="AT40">
        <f>(AS40-1)*100</f>
        <v>0</v>
      </c>
      <c r="AU40">
        <f>MAX(0,($B$13+$C$13*BT40)/(1+$D$13*BT40)*BM40/(BO40+273)*$E$13)</f>
        <v>0</v>
      </c>
      <c r="AV40">
        <f>$B$11*BU40+$C$11*BV40+$F$11*CG40*(1-CJ40)</f>
        <v>0</v>
      </c>
      <c r="AW40">
        <f>AV40*AX40</f>
        <v>0</v>
      </c>
      <c r="AX40">
        <f>($B$11*$D$9+$C$11*$D$9+$F$11*((CT40+CL40)/MAX(CT40+CL40+CU40, 0.1)*$I$9+CU40/MAX(CT40+CL40+CU40, 0.1)*$J$9))/($B$11+$C$11+$F$11)</f>
        <v>0</v>
      </c>
      <c r="AY40">
        <f>($B$11*$K$9+$C$11*$K$9+$F$11*((CT40+CL40)/MAX(CT40+CL40+CU40, 0.1)*$P$9+CU40/MAX(CT40+CL40+CU40, 0.1)*$Q$9))/($B$11+$C$11+$F$11)</f>
        <v>0</v>
      </c>
      <c r="AZ40">
        <v>6</v>
      </c>
      <c r="BA40">
        <v>0.5</v>
      </c>
      <c r="BB40" t="s">
        <v>353</v>
      </c>
      <c r="BC40">
        <v>2</v>
      </c>
      <c r="BD40" t="b">
        <v>0</v>
      </c>
      <c r="BE40">
        <v>1751825065.599999</v>
      </c>
      <c r="BF40">
        <v>403.0461290322581</v>
      </c>
      <c r="BG40">
        <v>404.9955161290323</v>
      </c>
      <c r="BH40">
        <v>1.912968387096774</v>
      </c>
      <c r="BI40">
        <v>0.4917584516129032</v>
      </c>
      <c r="BJ40">
        <v>402.6811290322581</v>
      </c>
      <c r="BK40">
        <v>2.114180967741935</v>
      </c>
      <c r="BL40">
        <v>800.003935483871</v>
      </c>
      <c r="BM40">
        <v>101.3503225806452</v>
      </c>
      <c r="BN40">
        <v>0.1000804774193548</v>
      </c>
      <c r="BO40">
        <v>31.63890967741936</v>
      </c>
      <c r="BP40">
        <v>31.14135806451613</v>
      </c>
      <c r="BQ40">
        <v>999.9000000000003</v>
      </c>
      <c r="BR40">
        <v>0</v>
      </c>
      <c r="BS40">
        <v>0</v>
      </c>
      <c r="BT40">
        <v>9996.12258064516</v>
      </c>
      <c r="BU40">
        <v>0</v>
      </c>
      <c r="BV40">
        <v>0.00152894</v>
      </c>
      <c r="BW40">
        <v>-1.960379677419355</v>
      </c>
      <c r="BX40">
        <v>403.8076774193548</v>
      </c>
      <c r="BY40">
        <v>405.1948709677419</v>
      </c>
      <c r="BZ40">
        <v>1.421209677419355</v>
      </c>
      <c r="CA40">
        <v>404.9955161290323</v>
      </c>
      <c r="CB40">
        <v>0.4917584516129032</v>
      </c>
      <c r="CC40">
        <v>0.19388</v>
      </c>
      <c r="CD40">
        <v>0.04983987096774194</v>
      </c>
      <c r="CE40">
        <v>-14.88747419354838</v>
      </c>
      <c r="CF40">
        <v>-30.23002903225806</v>
      </c>
      <c r="CG40">
        <v>999.9972903225803</v>
      </c>
      <c r="CH40">
        <v>0.960004741935484</v>
      </c>
      <c r="CI40">
        <v>0.03999512580645161</v>
      </c>
      <c r="CJ40">
        <v>0</v>
      </c>
      <c r="CK40">
        <v>1.081774193548388</v>
      </c>
      <c r="CL40">
        <v>0</v>
      </c>
      <c r="CM40">
        <v>5918.285161290321</v>
      </c>
      <c r="CN40">
        <v>7946.906451612902</v>
      </c>
      <c r="CO40">
        <v>36.379</v>
      </c>
      <c r="CP40">
        <v>39.43699999999998</v>
      </c>
      <c r="CQ40">
        <v>37.56199999999998</v>
      </c>
      <c r="CR40">
        <v>38.68699999999998</v>
      </c>
      <c r="CS40">
        <v>37.18699999999998</v>
      </c>
      <c r="CT40">
        <v>960.0016129032258</v>
      </c>
      <c r="CU40">
        <v>39.99580645161291</v>
      </c>
      <c r="CV40">
        <v>0</v>
      </c>
      <c r="CW40">
        <v>1751825091.9</v>
      </c>
      <c r="CX40">
        <v>0</v>
      </c>
      <c r="CY40">
        <v>1751825091.6</v>
      </c>
      <c r="CZ40" t="s">
        <v>427</v>
      </c>
      <c r="DA40">
        <v>1751825091.6</v>
      </c>
      <c r="DB40">
        <v>1751824868</v>
      </c>
      <c r="DC40">
        <v>23</v>
      </c>
      <c r="DD40">
        <v>0.011</v>
      </c>
      <c r="DE40">
        <v>0.005</v>
      </c>
      <c r="DF40">
        <v>0.365</v>
      </c>
      <c r="DG40">
        <v>-0.183</v>
      </c>
      <c r="DH40">
        <v>405</v>
      </c>
      <c r="DI40">
        <v>0</v>
      </c>
      <c r="DJ40">
        <v>0.3</v>
      </c>
      <c r="DK40">
        <v>0.14</v>
      </c>
      <c r="DL40">
        <v>-1.96625625</v>
      </c>
      <c r="DM40">
        <v>0.1029362476547889</v>
      </c>
      <c r="DN40">
        <v>0.02953245398603882</v>
      </c>
      <c r="DO40">
        <v>0</v>
      </c>
      <c r="DP40">
        <v>1.474816</v>
      </c>
      <c r="DQ40">
        <v>-0.9411993996247666</v>
      </c>
      <c r="DR40">
        <v>0.0928968044337371</v>
      </c>
      <c r="DS40">
        <v>0</v>
      </c>
      <c r="DT40">
        <v>0</v>
      </c>
      <c r="DU40">
        <v>2</v>
      </c>
      <c r="DV40" t="s">
        <v>365</v>
      </c>
      <c r="DW40">
        <v>3.44161</v>
      </c>
      <c r="DX40">
        <v>2.78056</v>
      </c>
      <c r="DY40">
        <v>0.0957808</v>
      </c>
      <c r="DZ40">
        <v>0.0961407</v>
      </c>
      <c r="EA40">
        <v>0.0160123</v>
      </c>
      <c r="EB40">
        <v>0.00426672</v>
      </c>
      <c r="EC40">
        <v>27001.4</v>
      </c>
      <c r="ED40">
        <v>30713.5</v>
      </c>
      <c r="EE40">
        <v>29024.7</v>
      </c>
      <c r="EF40">
        <v>34589.9</v>
      </c>
      <c r="EG40">
        <v>33057.5</v>
      </c>
      <c r="EH40">
        <v>42623.8</v>
      </c>
      <c r="EI40">
        <v>35735</v>
      </c>
      <c r="EJ40">
        <v>45626.5</v>
      </c>
      <c r="EK40">
        <v>1.68708</v>
      </c>
      <c r="EL40">
        <v>2.06512</v>
      </c>
      <c r="EM40">
        <v>0.040181</v>
      </c>
      <c r="EN40">
        <v>0</v>
      </c>
      <c r="EO40">
        <v>30.5557</v>
      </c>
      <c r="EP40">
        <v>999.9</v>
      </c>
      <c r="EQ40">
        <v>43.7</v>
      </c>
      <c r="ER40">
        <v>31.8</v>
      </c>
      <c r="ES40">
        <v>20.3594</v>
      </c>
      <c r="ET40">
        <v>62.0556</v>
      </c>
      <c r="EU40">
        <v>26.0096</v>
      </c>
      <c r="EV40">
        <v>2</v>
      </c>
      <c r="EW40">
        <v>0.164756</v>
      </c>
      <c r="EX40">
        <v>0</v>
      </c>
      <c r="EY40">
        <v>20.2907</v>
      </c>
      <c r="EZ40">
        <v>5.2095</v>
      </c>
      <c r="FA40">
        <v>11.974</v>
      </c>
      <c r="FB40">
        <v>4.9896</v>
      </c>
      <c r="FC40">
        <v>3.272</v>
      </c>
      <c r="FD40">
        <v>3882</v>
      </c>
      <c r="FE40">
        <v>9999</v>
      </c>
      <c r="FF40">
        <v>9999</v>
      </c>
      <c r="FG40">
        <v>999.9</v>
      </c>
      <c r="FH40">
        <v>4.97263</v>
      </c>
      <c r="FI40">
        <v>1.86323</v>
      </c>
      <c r="FJ40">
        <v>1.86508</v>
      </c>
      <c r="FK40">
        <v>1.86356</v>
      </c>
      <c r="FL40">
        <v>1.86355</v>
      </c>
      <c r="FM40">
        <v>1.86401</v>
      </c>
      <c r="FN40">
        <v>1.8605</v>
      </c>
      <c r="FO40">
        <v>1.86325</v>
      </c>
      <c r="FP40">
        <v>0</v>
      </c>
      <c r="FQ40">
        <v>0</v>
      </c>
      <c r="FR40">
        <v>0</v>
      </c>
      <c r="FS40">
        <v>0</v>
      </c>
      <c r="FT40" t="s">
        <v>356</v>
      </c>
      <c r="FU40" t="s">
        <v>357</v>
      </c>
      <c r="FV40" t="s">
        <v>358</v>
      </c>
      <c r="FW40" t="s">
        <v>358</v>
      </c>
      <c r="FX40" t="s">
        <v>358</v>
      </c>
      <c r="FY40" t="s">
        <v>358</v>
      </c>
      <c r="FZ40">
        <v>0</v>
      </c>
      <c r="GA40">
        <v>100</v>
      </c>
      <c r="GB40">
        <v>100</v>
      </c>
      <c r="GC40">
        <v>0.365</v>
      </c>
      <c r="GD40">
        <v>-0.2005</v>
      </c>
      <c r="GE40">
        <v>0.6371174850803423</v>
      </c>
      <c r="GF40">
        <v>-0.001033730503750798</v>
      </c>
      <c r="GG40">
        <v>9.120241388950126E-07</v>
      </c>
      <c r="GH40">
        <v>-2.246115299815222E-10</v>
      </c>
      <c r="GI40">
        <v>-0.1720191583529933</v>
      </c>
      <c r="GJ40">
        <v>-0.01814858093373864</v>
      </c>
      <c r="GK40">
        <v>0.002091959988359369</v>
      </c>
      <c r="GL40">
        <v>-1.90871700788604E-05</v>
      </c>
      <c r="GM40">
        <v>2</v>
      </c>
      <c r="GN40">
        <v>2210</v>
      </c>
      <c r="GO40">
        <v>1</v>
      </c>
      <c r="GP40">
        <v>26</v>
      </c>
      <c r="GQ40">
        <v>1.5</v>
      </c>
      <c r="GR40">
        <v>3.4</v>
      </c>
      <c r="GS40">
        <v>1.26221</v>
      </c>
      <c r="GT40">
        <v>2.41821</v>
      </c>
      <c r="GU40">
        <v>2.34863</v>
      </c>
      <c r="GV40">
        <v>2.65869</v>
      </c>
      <c r="GW40">
        <v>2.39868</v>
      </c>
      <c r="GX40">
        <v>2.26929</v>
      </c>
      <c r="GY40">
        <v>36.8604</v>
      </c>
      <c r="GZ40">
        <v>15.9445</v>
      </c>
      <c r="HA40">
        <v>18</v>
      </c>
      <c r="HB40">
        <v>337.79</v>
      </c>
      <c r="HC40">
        <v>578.75</v>
      </c>
      <c r="HD40">
        <v>31.0843</v>
      </c>
      <c r="HE40">
        <v>29.958</v>
      </c>
      <c r="HF40">
        <v>30.0006</v>
      </c>
      <c r="HG40">
        <v>29.735</v>
      </c>
      <c r="HH40">
        <v>29.6708</v>
      </c>
      <c r="HI40">
        <v>25.322</v>
      </c>
      <c r="HJ40">
        <v>100</v>
      </c>
      <c r="HK40">
        <v>0</v>
      </c>
      <c r="HL40">
        <v>-999.9</v>
      </c>
      <c r="HM40">
        <v>405</v>
      </c>
      <c r="HN40">
        <v>0</v>
      </c>
      <c r="HO40">
        <v>99.6631</v>
      </c>
      <c r="HP40">
        <v>99.7762</v>
      </c>
    </row>
    <row r="41" spans="1:224">
      <c r="A41">
        <v>25</v>
      </c>
      <c r="B41">
        <v>1751825193.1</v>
      </c>
      <c r="C41">
        <v>2806.5</v>
      </c>
      <c r="D41" t="s">
        <v>428</v>
      </c>
      <c r="E41" t="s">
        <v>429</v>
      </c>
      <c r="F41">
        <v>15</v>
      </c>
      <c r="G41">
        <v>1751825185.349999</v>
      </c>
      <c r="H41">
        <f>(I41)/1000</f>
        <v>0</v>
      </c>
      <c r="I41">
        <f>IF(BD41, AL41, AF41)</f>
        <v>0</v>
      </c>
      <c r="J41">
        <f>IF(BD41, AG41, AE41)</f>
        <v>0</v>
      </c>
      <c r="K41">
        <f>BF41 - IF(AS41&gt;1, J41*AZ41*100.0/(AU41), 0)</f>
        <v>0</v>
      </c>
      <c r="L41">
        <f>((R41-H41/2)*K41-J41)/(R41+H41/2)</f>
        <v>0</v>
      </c>
      <c r="M41">
        <f>L41*(BM41+BN41)/1000.0</f>
        <v>0</v>
      </c>
      <c r="N41">
        <f>(BF41 - IF(AS41&gt;1, J41*AZ41*100.0/(AU41), 0))*(BM41+BN41)/1000.0</f>
        <v>0</v>
      </c>
      <c r="O41">
        <f>2.0/((1/Q41-1/P41)+SIGN(Q41)*SQRT((1/Q41-1/P41)*(1/Q41-1/P41) + 4*BA41/((BA41+1)*(BA41+1))*(2*1/Q41*1/P41-1/P41*1/P41)))</f>
        <v>0</v>
      </c>
      <c r="P41">
        <f>IF(LEFT(BB41,1)&lt;&gt;"0",IF(LEFT(BB41,1)="1",3.0,BC41),$D$5+$E$5*(BT41*BM41/($K$5*1000))+$F$5*(BT41*BM41/($K$5*1000))*MAX(MIN(AZ41,$J$5),$I$5)*MAX(MIN(AZ41,$J$5),$I$5)+$G$5*MAX(MIN(AZ41,$J$5),$I$5)*(BT41*BM41/($K$5*1000))+$H$5*(BT41*BM41/($K$5*1000))*(BT41*BM41/($K$5*1000)))</f>
        <v>0</v>
      </c>
      <c r="Q41">
        <f>H41*(1000-(1000*0.61365*exp(17.502*U41/(240.97+U41))/(BM41+BN41)+BH41)/2)/(1000*0.61365*exp(17.502*U41/(240.97+U41))/(BM41+BN41)-BH41)</f>
        <v>0</v>
      </c>
      <c r="R41">
        <f>1/((BA41+1)/(O41/1.6)+1/(P41/1.37)) + BA41/((BA41+1)/(O41/1.6) + BA41/(P41/1.37))</f>
        <v>0</v>
      </c>
      <c r="S41">
        <f>(AV41*AY41)</f>
        <v>0</v>
      </c>
      <c r="T41">
        <f>(BO41+(S41+2*0.95*5.67E-8*(((BO41+$B$7)+273)^4-(BO41+273)^4)-44100*H41)/(1.84*29.3*P41+8*0.95*5.67E-8*(BO41+273)^3))</f>
        <v>0</v>
      </c>
      <c r="U41">
        <f>($C$7*BP41+$D$7*BQ41+$E$7*T41)</f>
        <v>0</v>
      </c>
      <c r="V41">
        <f>0.61365*exp(17.502*U41/(240.97+U41))</f>
        <v>0</v>
      </c>
      <c r="W41">
        <f>(X41/Y41*100)</f>
        <v>0</v>
      </c>
      <c r="X41">
        <f>BH41*(BM41+BN41)/1000</f>
        <v>0</v>
      </c>
      <c r="Y41">
        <f>0.61365*exp(17.502*BO41/(240.97+BO41))</f>
        <v>0</v>
      </c>
      <c r="Z41">
        <f>(V41-BH41*(BM41+BN41)/1000)</f>
        <v>0</v>
      </c>
      <c r="AA41">
        <f>(-H41*44100)</f>
        <v>0</v>
      </c>
      <c r="AB41">
        <f>2*29.3*P41*0.92*(BO41-U41)</f>
        <v>0</v>
      </c>
      <c r="AC41">
        <f>2*0.95*5.67E-8*(((BO41+$B$7)+273)^4-(U41+273)^4)</f>
        <v>0</v>
      </c>
      <c r="AD41">
        <f>S41+AC41+AA41+AB41</f>
        <v>0</v>
      </c>
      <c r="AE41">
        <f>BL41*AS41*(BG41-BF41*(1000-AS41*BI41)/(1000-AS41*BH41))/(100*AZ41)</f>
        <v>0</v>
      </c>
      <c r="AF41">
        <f>1000*BL41*AS41*(BH41-BI41)/(100*AZ41*(1000-AS41*BH41))</f>
        <v>0</v>
      </c>
      <c r="AG41">
        <f>(AH41 - AI41 - BM41*1E3/(8.314*(BO41+273.15)) * AK41/BL41 * AJ41) * BL41/(100*AZ41) * (1000 - BI41)/1000</f>
        <v>0</v>
      </c>
      <c r="AH41">
        <v>405.1901777513418</v>
      </c>
      <c r="AI41">
        <v>403.2390545454546</v>
      </c>
      <c r="AJ41">
        <v>-0.0003852576843162745</v>
      </c>
      <c r="AK41">
        <v>66.94304993464637</v>
      </c>
      <c r="AL41">
        <f>(AN41 - AM41 + BM41*1E3/(8.314*(BO41+273.15)) * AP41/BL41 * AO41) * BL41/(100*AZ41) * 1000/(1000 - AN41)</f>
        <v>0</v>
      </c>
      <c r="AM41">
        <v>0.5063699883374728</v>
      </c>
      <c r="AN41">
        <v>1.996442303030304</v>
      </c>
      <c r="AO41">
        <v>-0.0001149996536287037</v>
      </c>
      <c r="AP41">
        <v>79.98121088580196</v>
      </c>
      <c r="AQ41">
        <v>24</v>
      </c>
      <c r="AR41">
        <v>3</v>
      </c>
      <c r="AS41">
        <f>IF(AQ41*$H$13&gt;=AU41,1.0,(AU41/(AU41-AQ41*$H$13)))</f>
        <v>0</v>
      </c>
      <c r="AT41">
        <f>(AS41-1)*100</f>
        <v>0</v>
      </c>
      <c r="AU41">
        <f>MAX(0,($B$13+$C$13*BT41)/(1+$D$13*BT41)*BM41/(BO41+273)*$E$13)</f>
        <v>0</v>
      </c>
      <c r="AV41">
        <f>$B$11*BU41+$C$11*BV41+$F$11*CG41*(1-CJ41)</f>
        <v>0</v>
      </c>
      <c r="AW41">
        <f>AV41*AX41</f>
        <v>0</v>
      </c>
      <c r="AX41">
        <f>($B$11*$D$9+$C$11*$D$9+$F$11*((CT41+CL41)/MAX(CT41+CL41+CU41, 0.1)*$I$9+CU41/MAX(CT41+CL41+CU41, 0.1)*$J$9))/($B$11+$C$11+$F$11)</f>
        <v>0</v>
      </c>
      <c r="AY41">
        <f>($B$11*$K$9+$C$11*$K$9+$F$11*((CT41+CL41)/MAX(CT41+CL41+CU41, 0.1)*$P$9+CU41/MAX(CT41+CL41+CU41, 0.1)*$Q$9))/($B$11+$C$11+$F$11)</f>
        <v>0</v>
      </c>
      <c r="AZ41">
        <v>6</v>
      </c>
      <c r="BA41">
        <v>0.5</v>
      </c>
      <c r="BB41" t="s">
        <v>353</v>
      </c>
      <c r="BC41">
        <v>2</v>
      </c>
      <c r="BD41" t="b">
        <v>0</v>
      </c>
      <c r="BE41">
        <v>1751825185.349999</v>
      </c>
      <c r="BF41">
        <v>402.4331666666667</v>
      </c>
      <c r="BG41">
        <v>404.9888</v>
      </c>
      <c r="BH41">
        <v>2.010028</v>
      </c>
      <c r="BI41">
        <v>0.5057136666666667</v>
      </c>
      <c r="BJ41">
        <v>402.0551666666667</v>
      </c>
      <c r="BK41">
        <v>2.212166</v>
      </c>
      <c r="BL41">
        <v>799.9990999999999</v>
      </c>
      <c r="BM41">
        <v>101.3528999999999</v>
      </c>
      <c r="BN41">
        <v>0.09983897666666669</v>
      </c>
      <c r="BO41">
        <v>31.76342</v>
      </c>
      <c r="BP41">
        <v>31.46611666666666</v>
      </c>
      <c r="BQ41">
        <v>999.9000000000002</v>
      </c>
      <c r="BR41">
        <v>0</v>
      </c>
      <c r="BS41">
        <v>0</v>
      </c>
      <c r="BT41">
        <v>9999.227000000001</v>
      </c>
      <c r="BU41">
        <v>0</v>
      </c>
      <c r="BV41">
        <v>0.00152894</v>
      </c>
      <c r="BW41">
        <v>-2.568099333333334</v>
      </c>
      <c r="BX41">
        <v>403.2312333333333</v>
      </c>
      <c r="BY41">
        <v>405.1937666666666</v>
      </c>
      <c r="BZ41">
        <v>1.504315666666667</v>
      </c>
      <c r="CA41">
        <v>404.9888</v>
      </c>
      <c r="CB41">
        <v>0.5057136666666667</v>
      </c>
      <c r="CC41">
        <v>0.2037221</v>
      </c>
      <c r="CD41">
        <v>0.05125549333333333</v>
      </c>
      <c r="CE41">
        <v>-14.28198666666667</v>
      </c>
      <c r="CF41">
        <v>-29.93467666666666</v>
      </c>
      <c r="CG41">
        <v>999.9814666666666</v>
      </c>
      <c r="CH41">
        <v>0.9599898666666665</v>
      </c>
      <c r="CI41">
        <v>0.04001018666666666</v>
      </c>
      <c r="CJ41">
        <v>0</v>
      </c>
      <c r="CK41">
        <v>1.4145</v>
      </c>
      <c r="CL41">
        <v>0</v>
      </c>
      <c r="CM41">
        <v>7116.872666666666</v>
      </c>
      <c r="CN41">
        <v>7946.737333333333</v>
      </c>
      <c r="CO41">
        <v>36.53926666666666</v>
      </c>
      <c r="CP41">
        <v>39.625</v>
      </c>
      <c r="CQ41">
        <v>37.70799999999999</v>
      </c>
      <c r="CR41">
        <v>38.875</v>
      </c>
      <c r="CS41">
        <v>37.3477</v>
      </c>
      <c r="CT41">
        <v>959.9720000000001</v>
      </c>
      <c r="CU41">
        <v>40.01</v>
      </c>
      <c r="CV41">
        <v>0</v>
      </c>
      <c r="CW41">
        <v>1751825211.3</v>
      </c>
      <c r="CX41">
        <v>0</v>
      </c>
      <c r="CY41">
        <v>1751825210.6</v>
      </c>
      <c r="CZ41" t="s">
        <v>430</v>
      </c>
      <c r="DA41">
        <v>1751825210.6</v>
      </c>
      <c r="DB41">
        <v>1751824868</v>
      </c>
      <c r="DC41">
        <v>24</v>
      </c>
      <c r="DD41">
        <v>0.013</v>
      </c>
      <c r="DE41">
        <v>0.005</v>
      </c>
      <c r="DF41">
        <v>0.378</v>
      </c>
      <c r="DG41">
        <v>-0.183</v>
      </c>
      <c r="DH41">
        <v>405</v>
      </c>
      <c r="DI41">
        <v>0</v>
      </c>
      <c r="DJ41">
        <v>0.43</v>
      </c>
      <c r="DK41">
        <v>0.14</v>
      </c>
      <c r="DL41">
        <v>-2.5854955</v>
      </c>
      <c r="DM41">
        <v>0.3880417260787971</v>
      </c>
      <c r="DN41">
        <v>0.04189161807271233</v>
      </c>
      <c r="DO41">
        <v>0</v>
      </c>
      <c r="DP41">
        <v>1.5113405</v>
      </c>
      <c r="DQ41">
        <v>-0.1354827016885603</v>
      </c>
      <c r="DR41">
        <v>0.01308171451874713</v>
      </c>
      <c r="DS41">
        <v>0</v>
      </c>
      <c r="DT41">
        <v>0</v>
      </c>
      <c r="DU41">
        <v>2</v>
      </c>
      <c r="DV41" t="s">
        <v>365</v>
      </c>
      <c r="DW41">
        <v>3.44161</v>
      </c>
      <c r="DX41">
        <v>2.78039</v>
      </c>
      <c r="DY41">
        <v>0.0956394</v>
      </c>
      <c r="DZ41">
        <v>0.09610589999999999</v>
      </c>
      <c r="EA41">
        <v>0.0171458</v>
      </c>
      <c r="EB41">
        <v>0.00438083</v>
      </c>
      <c r="EC41">
        <v>27000.2</v>
      </c>
      <c r="ED41">
        <v>30708.7</v>
      </c>
      <c r="EE41">
        <v>29019.2</v>
      </c>
      <c r="EF41">
        <v>34583.8</v>
      </c>
      <c r="EG41">
        <v>33013</v>
      </c>
      <c r="EH41">
        <v>42611</v>
      </c>
      <c r="EI41">
        <v>35728.2</v>
      </c>
      <c r="EJ41">
        <v>45618.1</v>
      </c>
      <c r="EK41">
        <v>2.408</v>
      </c>
      <c r="EL41">
        <v>2.06105</v>
      </c>
      <c r="EM41">
        <v>0.0545233</v>
      </c>
      <c r="EN41">
        <v>0</v>
      </c>
      <c r="EO41">
        <v>30.6054</v>
      </c>
      <c r="EP41">
        <v>999.9</v>
      </c>
      <c r="EQ41">
        <v>43.3</v>
      </c>
      <c r="ER41">
        <v>32.1</v>
      </c>
      <c r="ES41">
        <v>20.5159</v>
      </c>
      <c r="ET41">
        <v>61.8156</v>
      </c>
      <c r="EU41">
        <v>25.8974</v>
      </c>
      <c r="EV41">
        <v>2</v>
      </c>
      <c r="EW41">
        <v>0.175376</v>
      </c>
      <c r="EX41">
        <v>0</v>
      </c>
      <c r="EY41">
        <v>20.2907</v>
      </c>
      <c r="EZ41">
        <v>5.20995</v>
      </c>
      <c r="FA41">
        <v>11.974</v>
      </c>
      <c r="FB41">
        <v>4.98915</v>
      </c>
      <c r="FC41">
        <v>3.272</v>
      </c>
      <c r="FD41">
        <v>3885.7</v>
      </c>
      <c r="FE41">
        <v>9999</v>
      </c>
      <c r="FF41">
        <v>9999</v>
      </c>
      <c r="FG41">
        <v>999.9</v>
      </c>
      <c r="FH41">
        <v>4.97265</v>
      </c>
      <c r="FI41">
        <v>1.86324</v>
      </c>
      <c r="FJ41">
        <v>1.86508</v>
      </c>
      <c r="FK41">
        <v>1.86357</v>
      </c>
      <c r="FL41">
        <v>1.86356</v>
      </c>
      <c r="FM41">
        <v>1.86401</v>
      </c>
      <c r="FN41">
        <v>1.8605</v>
      </c>
      <c r="FO41">
        <v>1.86325</v>
      </c>
      <c r="FP41">
        <v>0</v>
      </c>
      <c r="FQ41">
        <v>0</v>
      </c>
      <c r="FR41">
        <v>0</v>
      </c>
      <c r="FS41">
        <v>0</v>
      </c>
      <c r="FT41" t="s">
        <v>356</v>
      </c>
      <c r="FU41" t="s">
        <v>357</v>
      </c>
      <c r="FV41" t="s">
        <v>358</v>
      </c>
      <c r="FW41" t="s">
        <v>358</v>
      </c>
      <c r="FX41" t="s">
        <v>358</v>
      </c>
      <c r="FY41" t="s">
        <v>358</v>
      </c>
      <c r="FZ41">
        <v>0</v>
      </c>
      <c r="GA41">
        <v>100</v>
      </c>
      <c r="GB41">
        <v>100</v>
      </c>
      <c r="GC41">
        <v>0.378</v>
      </c>
      <c r="GD41">
        <v>-0.202</v>
      </c>
      <c r="GE41">
        <v>0.6484104629316791</v>
      </c>
      <c r="GF41">
        <v>-0.001033730503750798</v>
      </c>
      <c r="GG41">
        <v>9.120241388950126E-07</v>
      </c>
      <c r="GH41">
        <v>-2.246115299815222E-10</v>
      </c>
      <c r="GI41">
        <v>-0.1720191583529933</v>
      </c>
      <c r="GJ41">
        <v>-0.01814858093373864</v>
      </c>
      <c r="GK41">
        <v>0.002091959988359369</v>
      </c>
      <c r="GL41">
        <v>-1.90871700788604E-05</v>
      </c>
      <c r="GM41">
        <v>2</v>
      </c>
      <c r="GN41">
        <v>2210</v>
      </c>
      <c r="GO41">
        <v>1</v>
      </c>
      <c r="GP41">
        <v>26</v>
      </c>
      <c r="GQ41">
        <v>1.7</v>
      </c>
      <c r="GR41">
        <v>5.4</v>
      </c>
      <c r="GS41">
        <v>1.26343</v>
      </c>
      <c r="GT41">
        <v>2.42676</v>
      </c>
      <c r="GU41">
        <v>2.34741</v>
      </c>
      <c r="GV41">
        <v>2.65869</v>
      </c>
      <c r="GW41">
        <v>2.39868</v>
      </c>
      <c r="GX41">
        <v>2.33154</v>
      </c>
      <c r="GY41">
        <v>37.0509</v>
      </c>
      <c r="GZ41">
        <v>15.9358</v>
      </c>
      <c r="HA41">
        <v>18</v>
      </c>
      <c r="HB41">
        <v>802.768</v>
      </c>
      <c r="HC41">
        <v>576.982</v>
      </c>
      <c r="HD41">
        <v>31.2405</v>
      </c>
      <c r="HE41">
        <v>30.1</v>
      </c>
      <c r="HF41">
        <v>30.0006</v>
      </c>
      <c r="HG41">
        <v>29.8495</v>
      </c>
      <c r="HH41">
        <v>29.8039</v>
      </c>
      <c r="HI41">
        <v>25.3309</v>
      </c>
      <c r="HJ41">
        <v>100</v>
      </c>
      <c r="HK41">
        <v>0</v>
      </c>
      <c r="HL41">
        <v>-999.9</v>
      </c>
      <c r="HM41">
        <v>405</v>
      </c>
      <c r="HN41">
        <v>0</v>
      </c>
      <c r="HO41">
        <v>99.6442</v>
      </c>
      <c r="HP41">
        <v>99.75830000000001</v>
      </c>
    </row>
    <row r="42" spans="1:224">
      <c r="A42">
        <v>26</v>
      </c>
      <c r="B42">
        <v>1751825358.1</v>
      </c>
      <c r="C42">
        <v>2971.5</v>
      </c>
      <c r="D42" t="s">
        <v>431</v>
      </c>
      <c r="E42" t="s">
        <v>432</v>
      </c>
      <c r="F42">
        <v>15</v>
      </c>
      <c r="G42">
        <v>1751825350.349999</v>
      </c>
      <c r="H42">
        <f>(I42)/1000</f>
        <v>0</v>
      </c>
      <c r="I42">
        <f>IF(BD42, AL42, AF42)</f>
        <v>0</v>
      </c>
      <c r="J42">
        <f>IF(BD42, AG42, AE42)</f>
        <v>0</v>
      </c>
      <c r="K42">
        <f>BF42 - IF(AS42&gt;1, J42*AZ42*100.0/(AU42), 0)</f>
        <v>0</v>
      </c>
      <c r="L42">
        <f>((R42-H42/2)*K42-J42)/(R42+H42/2)</f>
        <v>0</v>
      </c>
      <c r="M42">
        <f>L42*(BM42+BN42)/1000.0</f>
        <v>0</v>
      </c>
      <c r="N42">
        <f>(BF42 - IF(AS42&gt;1, J42*AZ42*100.0/(AU42), 0))*(BM42+BN42)/1000.0</f>
        <v>0</v>
      </c>
      <c r="O42">
        <f>2.0/((1/Q42-1/P42)+SIGN(Q42)*SQRT((1/Q42-1/P42)*(1/Q42-1/P42) + 4*BA42/((BA42+1)*(BA42+1))*(2*1/Q42*1/P42-1/P42*1/P42)))</f>
        <v>0</v>
      </c>
      <c r="P42">
        <f>IF(LEFT(BB42,1)&lt;&gt;"0",IF(LEFT(BB42,1)="1",3.0,BC42),$D$5+$E$5*(BT42*BM42/($K$5*1000))+$F$5*(BT42*BM42/($K$5*1000))*MAX(MIN(AZ42,$J$5),$I$5)*MAX(MIN(AZ42,$J$5),$I$5)+$G$5*MAX(MIN(AZ42,$J$5),$I$5)*(BT42*BM42/($K$5*1000))+$H$5*(BT42*BM42/($K$5*1000))*(BT42*BM42/($K$5*1000)))</f>
        <v>0</v>
      </c>
      <c r="Q42">
        <f>H42*(1000-(1000*0.61365*exp(17.502*U42/(240.97+U42))/(BM42+BN42)+BH42)/2)/(1000*0.61365*exp(17.502*U42/(240.97+U42))/(BM42+BN42)-BH42)</f>
        <v>0</v>
      </c>
      <c r="R42">
        <f>1/((BA42+1)/(O42/1.6)+1/(P42/1.37)) + BA42/((BA42+1)/(O42/1.6) + BA42/(P42/1.37))</f>
        <v>0</v>
      </c>
      <c r="S42">
        <f>(AV42*AY42)</f>
        <v>0</v>
      </c>
      <c r="T42">
        <f>(BO42+(S42+2*0.95*5.67E-8*(((BO42+$B$7)+273)^4-(BO42+273)^4)-44100*H42)/(1.84*29.3*P42+8*0.95*5.67E-8*(BO42+273)^3))</f>
        <v>0</v>
      </c>
      <c r="U42">
        <f>($C$7*BP42+$D$7*BQ42+$E$7*T42)</f>
        <v>0</v>
      </c>
      <c r="V42">
        <f>0.61365*exp(17.502*U42/(240.97+U42))</f>
        <v>0</v>
      </c>
      <c r="W42">
        <f>(X42/Y42*100)</f>
        <v>0</v>
      </c>
      <c r="X42">
        <f>BH42*(BM42+BN42)/1000</f>
        <v>0</v>
      </c>
      <c r="Y42">
        <f>0.61365*exp(17.502*BO42/(240.97+BO42))</f>
        <v>0</v>
      </c>
      <c r="Z42">
        <f>(V42-BH42*(BM42+BN42)/1000)</f>
        <v>0</v>
      </c>
      <c r="AA42">
        <f>(-H42*44100)</f>
        <v>0</v>
      </c>
      <c r="AB42">
        <f>2*29.3*P42*0.92*(BO42-U42)</f>
        <v>0</v>
      </c>
      <c r="AC42">
        <f>2*0.95*5.67E-8*(((BO42+$B$7)+273)^4-(U42+273)^4)</f>
        <v>0</v>
      </c>
      <c r="AD42">
        <f>S42+AC42+AA42+AB42</f>
        <v>0</v>
      </c>
      <c r="AE42">
        <f>BL42*AS42*(BG42-BF42*(1000-AS42*BI42)/(1000-AS42*BH42))/(100*AZ42)</f>
        <v>0</v>
      </c>
      <c r="AF42">
        <f>1000*BL42*AS42*(BH42-BI42)/(100*AZ42*(1000-AS42*BH42))</f>
        <v>0</v>
      </c>
      <c r="AG42">
        <f>(AH42 - AI42 - BM42*1E3/(8.314*(BO42+273.15)) * AK42/BL42 * AJ42) * BL42/(100*AZ42) * (1000 - BI42)/1000</f>
        <v>0</v>
      </c>
      <c r="AH42">
        <v>415.3585090172645</v>
      </c>
      <c r="AI42">
        <v>411.7852060606058</v>
      </c>
      <c r="AJ42">
        <v>0.003577812381001791</v>
      </c>
      <c r="AK42">
        <v>66.94146322329946</v>
      </c>
      <c r="AL42">
        <f>(AN42 - AM42 + BM42*1E3/(8.314*(BO42+273.15)) * AP42/BL42 * AO42) * BL42/(100*AZ42) * 1000/(1000 - AN42)</f>
        <v>0</v>
      </c>
      <c r="AM42">
        <v>25.0282189113509</v>
      </c>
      <c r="AN42">
        <v>25.94651333333333</v>
      </c>
      <c r="AO42">
        <v>0.0008138999687198881</v>
      </c>
      <c r="AP42">
        <v>79.66678457394939</v>
      </c>
      <c r="AQ42">
        <v>153</v>
      </c>
      <c r="AR42">
        <v>19</v>
      </c>
      <c r="AS42">
        <f>IF(AQ42*$H$13&gt;=AU42,1.0,(AU42/(AU42-AQ42*$H$13)))</f>
        <v>0</v>
      </c>
      <c r="AT42">
        <f>(AS42-1)*100</f>
        <v>0</v>
      </c>
      <c r="AU42">
        <f>MAX(0,($B$13+$C$13*BT42)/(1+$D$13*BT42)*BM42/(BO42+273)*$E$13)</f>
        <v>0</v>
      </c>
      <c r="AV42">
        <f>$B$11*BU42+$C$11*BV42+$F$11*CG42*(1-CJ42)</f>
        <v>0</v>
      </c>
      <c r="AW42">
        <f>AV42*AX42</f>
        <v>0</v>
      </c>
      <c r="AX42">
        <f>($B$11*$D$9+$C$11*$D$9+$F$11*((CT42+CL42)/MAX(CT42+CL42+CU42, 0.1)*$I$9+CU42/MAX(CT42+CL42+CU42, 0.1)*$J$9))/($B$11+$C$11+$F$11)</f>
        <v>0</v>
      </c>
      <c r="AY42">
        <f>($B$11*$K$9+$C$11*$K$9+$F$11*((CT42+CL42)/MAX(CT42+CL42+CU42, 0.1)*$P$9+CU42/MAX(CT42+CL42+CU42, 0.1)*$Q$9))/($B$11+$C$11+$F$11)</f>
        <v>0</v>
      </c>
      <c r="AZ42">
        <v>6</v>
      </c>
      <c r="BA42">
        <v>0.5</v>
      </c>
      <c r="BB42" t="s">
        <v>353</v>
      </c>
      <c r="BC42">
        <v>2</v>
      </c>
      <c r="BD42" t="b">
        <v>0</v>
      </c>
      <c r="BE42">
        <v>1751825350.349999</v>
      </c>
      <c r="BF42">
        <v>400.9381333333334</v>
      </c>
      <c r="BG42">
        <v>405.0250666666667</v>
      </c>
      <c r="BH42">
        <v>25.65498333333333</v>
      </c>
      <c r="BI42">
        <v>24.99546333333334</v>
      </c>
      <c r="BJ42">
        <v>400.7971333333334</v>
      </c>
      <c r="BK42">
        <v>25.57098333333333</v>
      </c>
      <c r="BL42">
        <v>800.0085</v>
      </c>
      <c r="BM42">
        <v>101.3510666666666</v>
      </c>
      <c r="BN42">
        <v>0.10003737</v>
      </c>
      <c r="BO42">
        <v>32.12951</v>
      </c>
      <c r="BP42">
        <v>32.05373</v>
      </c>
      <c r="BQ42">
        <v>999.9000000000002</v>
      </c>
      <c r="BR42">
        <v>0</v>
      </c>
      <c r="BS42">
        <v>0</v>
      </c>
      <c r="BT42">
        <v>10004.95666666667</v>
      </c>
      <c r="BU42">
        <v>0</v>
      </c>
      <c r="BV42">
        <v>0.001580859333333333</v>
      </c>
      <c r="BW42">
        <v>-3.848674666666666</v>
      </c>
      <c r="BX42">
        <v>411.8784</v>
      </c>
      <c r="BY42">
        <v>415.4082333333333</v>
      </c>
      <c r="BZ42">
        <v>0.9881827333333334</v>
      </c>
      <c r="CA42">
        <v>405.0250666666667</v>
      </c>
      <c r="CB42">
        <v>24.99546333333334</v>
      </c>
      <c r="CC42">
        <v>2.633469</v>
      </c>
      <c r="CD42">
        <v>2.533317</v>
      </c>
      <c r="CE42">
        <v>21.87572333333333</v>
      </c>
      <c r="CF42">
        <v>21.24213</v>
      </c>
      <c r="CG42">
        <v>1000.009733333333</v>
      </c>
      <c r="CH42">
        <v>0.9600124666666668</v>
      </c>
      <c r="CI42">
        <v>0.03998781333333333</v>
      </c>
      <c r="CJ42">
        <v>0</v>
      </c>
      <c r="CK42">
        <v>2.372166666666666</v>
      </c>
      <c r="CL42">
        <v>0</v>
      </c>
      <c r="CM42">
        <v>7471.523333333333</v>
      </c>
      <c r="CN42">
        <v>7947.039</v>
      </c>
      <c r="CO42">
        <v>36.81199999999999</v>
      </c>
      <c r="CP42">
        <v>39.875</v>
      </c>
      <c r="CQ42">
        <v>37.94329999999999</v>
      </c>
      <c r="CR42">
        <v>39.13533333333333</v>
      </c>
      <c r="CS42">
        <v>37.6166</v>
      </c>
      <c r="CT42">
        <v>960.0206666666666</v>
      </c>
      <c r="CU42">
        <v>39.98933333333333</v>
      </c>
      <c r="CV42">
        <v>0</v>
      </c>
      <c r="CW42">
        <v>1751825376.3</v>
      </c>
      <c r="CX42">
        <v>0</v>
      </c>
      <c r="CY42">
        <v>1751825375.1</v>
      </c>
      <c r="CZ42" t="s">
        <v>433</v>
      </c>
      <c r="DA42">
        <v>1751825375.1</v>
      </c>
      <c r="DB42">
        <v>1751825375.1</v>
      </c>
      <c r="DC42">
        <v>25</v>
      </c>
      <c r="DD42">
        <v>-0.236</v>
      </c>
      <c r="DE42">
        <v>-0.301</v>
      </c>
      <c r="DF42">
        <v>0.141</v>
      </c>
      <c r="DG42">
        <v>0.08400000000000001</v>
      </c>
      <c r="DH42">
        <v>405</v>
      </c>
      <c r="DI42">
        <v>25</v>
      </c>
      <c r="DJ42">
        <v>0.19</v>
      </c>
      <c r="DK42">
        <v>0.14</v>
      </c>
      <c r="DL42">
        <v>-3.858791219512195</v>
      </c>
      <c r="DM42">
        <v>0.02357790940765406</v>
      </c>
      <c r="DN42">
        <v>0.02955666069087841</v>
      </c>
      <c r="DO42">
        <v>1</v>
      </c>
      <c r="DP42">
        <v>1.087434926829268</v>
      </c>
      <c r="DQ42">
        <v>-1.807632104529614</v>
      </c>
      <c r="DR42">
        <v>0.1884145903643488</v>
      </c>
      <c r="DS42">
        <v>0</v>
      </c>
      <c r="DT42">
        <v>1</v>
      </c>
      <c r="DU42">
        <v>2</v>
      </c>
      <c r="DV42" t="s">
        <v>355</v>
      </c>
      <c r="DW42">
        <v>3.45404</v>
      </c>
      <c r="DX42">
        <v>2.781</v>
      </c>
      <c r="DY42">
        <v>0.0955519</v>
      </c>
      <c r="DZ42">
        <v>0.0962803</v>
      </c>
      <c r="EA42">
        <v>0.123593</v>
      </c>
      <c r="EB42">
        <v>0.120227</v>
      </c>
      <c r="EC42">
        <v>26997.4</v>
      </c>
      <c r="ED42">
        <v>30685.5</v>
      </c>
      <c r="EE42">
        <v>29012.9</v>
      </c>
      <c r="EF42">
        <v>34563.6</v>
      </c>
      <c r="EG42">
        <v>29411.7</v>
      </c>
      <c r="EH42">
        <v>37622.3</v>
      </c>
      <c r="EI42">
        <v>35714.6</v>
      </c>
      <c r="EJ42">
        <v>45588.5</v>
      </c>
      <c r="EK42">
        <v>2.21073</v>
      </c>
      <c r="EL42">
        <v>2.1119</v>
      </c>
      <c r="EM42">
        <v>0.0721551</v>
      </c>
      <c r="EN42">
        <v>0</v>
      </c>
      <c r="EO42">
        <v>30.904</v>
      </c>
      <c r="EP42">
        <v>999.9</v>
      </c>
      <c r="EQ42">
        <v>54.4</v>
      </c>
      <c r="ER42">
        <v>32.4</v>
      </c>
      <c r="ES42">
        <v>26.2175</v>
      </c>
      <c r="ET42">
        <v>61.6056</v>
      </c>
      <c r="EU42">
        <v>24.4631</v>
      </c>
      <c r="EV42">
        <v>2</v>
      </c>
      <c r="EW42">
        <v>0.19076</v>
      </c>
      <c r="EX42">
        <v>0</v>
      </c>
      <c r="EY42">
        <v>20.2906</v>
      </c>
      <c r="EZ42">
        <v>5.211</v>
      </c>
      <c r="FA42">
        <v>11.974</v>
      </c>
      <c r="FB42">
        <v>4.98945</v>
      </c>
      <c r="FC42">
        <v>3.272</v>
      </c>
      <c r="FD42">
        <v>3890.8</v>
      </c>
      <c r="FE42">
        <v>9999</v>
      </c>
      <c r="FF42">
        <v>9999</v>
      </c>
      <c r="FG42">
        <v>999.9</v>
      </c>
      <c r="FH42">
        <v>4.97265</v>
      </c>
      <c r="FI42">
        <v>1.86325</v>
      </c>
      <c r="FJ42">
        <v>1.86516</v>
      </c>
      <c r="FK42">
        <v>1.86358</v>
      </c>
      <c r="FL42">
        <v>1.86356</v>
      </c>
      <c r="FM42">
        <v>1.86408</v>
      </c>
      <c r="FN42">
        <v>1.8605</v>
      </c>
      <c r="FO42">
        <v>1.86325</v>
      </c>
      <c r="FP42">
        <v>0</v>
      </c>
      <c r="FQ42">
        <v>0</v>
      </c>
      <c r="FR42">
        <v>0</v>
      </c>
      <c r="FS42">
        <v>0</v>
      </c>
      <c r="FT42" t="s">
        <v>356</v>
      </c>
      <c r="FU42" t="s">
        <v>357</v>
      </c>
      <c r="FV42" t="s">
        <v>358</v>
      </c>
      <c r="FW42" t="s">
        <v>358</v>
      </c>
      <c r="FX42" t="s">
        <v>358</v>
      </c>
      <c r="FY42" t="s">
        <v>358</v>
      </c>
      <c r="FZ42">
        <v>0</v>
      </c>
      <c r="GA42">
        <v>100</v>
      </c>
      <c r="GB42">
        <v>100</v>
      </c>
      <c r="GC42">
        <v>0.141</v>
      </c>
      <c r="GD42">
        <v>0.08400000000000001</v>
      </c>
      <c r="GE42">
        <v>0.6615146432226169</v>
      </c>
      <c r="GF42">
        <v>-0.001033730503750798</v>
      </c>
      <c r="GG42">
        <v>9.120241388950126E-07</v>
      </c>
      <c r="GH42">
        <v>-2.246115299815222E-10</v>
      </c>
      <c r="GI42">
        <v>-0.1720191583529933</v>
      </c>
      <c r="GJ42">
        <v>-0.01814858093373864</v>
      </c>
      <c r="GK42">
        <v>0.002091959988359369</v>
      </c>
      <c r="GL42">
        <v>-1.90871700788604E-05</v>
      </c>
      <c r="GM42">
        <v>2</v>
      </c>
      <c r="GN42">
        <v>2210</v>
      </c>
      <c r="GO42">
        <v>1</v>
      </c>
      <c r="GP42">
        <v>26</v>
      </c>
      <c r="GQ42">
        <v>2.5</v>
      </c>
      <c r="GR42">
        <v>8.199999999999999</v>
      </c>
      <c r="GS42">
        <v>1.28662</v>
      </c>
      <c r="GT42">
        <v>2.42798</v>
      </c>
      <c r="GU42">
        <v>2.34741</v>
      </c>
      <c r="GV42">
        <v>2.65625</v>
      </c>
      <c r="GW42">
        <v>2.39868</v>
      </c>
      <c r="GX42">
        <v>2.30591</v>
      </c>
      <c r="GY42">
        <v>37.3138</v>
      </c>
      <c r="GZ42">
        <v>15.9007</v>
      </c>
      <c r="HA42">
        <v>18</v>
      </c>
      <c r="HB42">
        <v>646.128</v>
      </c>
      <c r="HC42">
        <v>618.4930000000001</v>
      </c>
      <c r="HD42">
        <v>31.4926</v>
      </c>
      <c r="HE42">
        <v>30.3132</v>
      </c>
      <c r="HF42">
        <v>30.0004</v>
      </c>
      <c r="HG42">
        <v>30.0821</v>
      </c>
      <c r="HH42">
        <v>30.0198</v>
      </c>
      <c r="HI42">
        <v>25.814</v>
      </c>
      <c r="HJ42">
        <v>15.5816</v>
      </c>
      <c r="HK42">
        <v>64.20959999999999</v>
      </c>
      <c r="HL42">
        <v>-999.9</v>
      </c>
      <c r="HM42">
        <v>405</v>
      </c>
      <c r="HN42">
        <v>24.9994</v>
      </c>
      <c r="HO42">
        <v>99.6135</v>
      </c>
      <c r="HP42">
        <v>99.6964</v>
      </c>
    </row>
    <row r="43" spans="1:224">
      <c r="A43">
        <v>27</v>
      </c>
      <c r="B43">
        <v>1751825464.6</v>
      </c>
      <c r="C43">
        <v>3078</v>
      </c>
      <c r="D43" t="s">
        <v>434</v>
      </c>
      <c r="E43" t="s">
        <v>435</v>
      </c>
      <c r="F43">
        <v>15</v>
      </c>
      <c r="G43">
        <v>1751825456.849999</v>
      </c>
      <c r="H43">
        <f>(I43)/1000</f>
        <v>0</v>
      </c>
      <c r="I43">
        <f>IF(BD43, AL43, AF43)</f>
        <v>0</v>
      </c>
      <c r="J43">
        <f>IF(BD43, AG43, AE43)</f>
        <v>0</v>
      </c>
      <c r="K43">
        <f>BF43 - IF(AS43&gt;1, J43*AZ43*100.0/(AU43), 0)</f>
        <v>0</v>
      </c>
      <c r="L43">
        <f>((R43-H43/2)*K43-J43)/(R43+H43/2)</f>
        <v>0</v>
      </c>
      <c r="M43">
        <f>L43*(BM43+BN43)/1000.0</f>
        <v>0</v>
      </c>
      <c r="N43">
        <f>(BF43 - IF(AS43&gt;1, J43*AZ43*100.0/(AU43), 0))*(BM43+BN43)/1000.0</f>
        <v>0</v>
      </c>
      <c r="O43">
        <f>2.0/((1/Q43-1/P43)+SIGN(Q43)*SQRT((1/Q43-1/P43)*(1/Q43-1/P43) + 4*BA43/((BA43+1)*(BA43+1))*(2*1/Q43*1/P43-1/P43*1/P43)))</f>
        <v>0</v>
      </c>
      <c r="P43">
        <f>IF(LEFT(BB43,1)&lt;&gt;"0",IF(LEFT(BB43,1)="1",3.0,BC43),$D$5+$E$5*(BT43*BM43/($K$5*1000))+$F$5*(BT43*BM43/($K$5*1000))*MAX(MIN(AZ43,$J$5),$I$5)*MAX(MIN(AZ43,$J$5),$I$5)+$G$5*MAX(MIN(AZ43,$J$5),$I$5)*(BT43*BM43/($K$5*1000))+$H$5*(BT43*BM43/($K$5*1000))*(BT43*BM43/($K$5*1000)))</f>
        <v>0</v>
      </c>
      <c r="Q43">
        <f>H43*(1000-(1000*0.61365*exp(17.502*U43/(240.97+U43))/(BM43+BN43)+BH43)/2)/(1000*0.61365*exp(17.502*U43/(240.97+U43))/(BM43+BN43)-BH43)</f>
        <v>0</v>
      </c>
      <c r="R43">
        <f>1/((BA43+1)/(O43/1.6)+1/(P43/1.37)) + BA43/((BA43+1)/(O43/1.6) + BA43/(P43/1.37))</f>
        <v>0</v>
      </c>
      <c r="S43">
        <f>(AV43*AY43)</f>
        <v>0</v>
      </c>
      <c r="T43">
        <f>(BO43+(S43+2*0.95*5.67E-8*(((BO43+$B$7)+273)^4-(BO43+273)^4)-44100*H43)/(1.84*29.3*P43+8*0.95*5.67E-8*(BO43+273)^3))</f>
        <v>0</v>
      </c>
      <c r="U43">
        <f>($C$7*BP43+$D$7*BQ43+$E$7*T43)</f>
        <v>0</v>
      </c>
      <c r="V43">
        <f>0.61365*exp(17.502*U43/(240.97+U43))</f>
        <v>0</v>
      </c>
      <c r="W43">
        <f>(X43/Y43*100)</f>
        <v>0</v>
      </c>
      <c r="X43">
        <f>BH43*(BM43+BN43)/1000</f>
        <v>0</v>
      </c>
      <c r="Y43">
        <f>0.61365*exp(17.502*BO43/(240.97+BO43))</f>
        <v>0</v>
      </c>
      <c r="Z43">
        <f>(V43-BH43*(BM43+BN43)/1000)</f>
        <v>0</v>
      </c>
      <c r="AA43">
        <f>(-H43*44100)</f>
        <v>0</v>
      </c>
      <c r="AB43">
        <f>2*29.3*P43*0.92*(BO43-U43)</f>
        <v>0</v>
      </c>
      <c r="AC43">
        <f>2*0.95*5.67E-8*(((BO43+$B$7)+273)^4-(U43+273)^4)</f>
        <v>0</v>
      </c>
      <c r="AD43">
        <f>S43+AC43+AA43+AB43</f>
        <v>0</v>
      </c>
      <c r="AE43">
        <f>BL43*AS43*(BG43-BF43*(1000-AS43*BI43)/(1000-AS43*BH43))/(100*AZ43)</f>
        <v>0</v>
      </c>
      <c r="AF43">
        <f>1000*BL43*AS43*(BH43-BI43)/(100*AZ43*(1000-AS43*BH43))</f>
        <v>0</v>
      </c>
      <c r="AG43">
        <f>(AH43 - AI43 - BM43*1E3/(8.314*(BO43+273.15)) * AK43/BL43 * AJ43) * BL43/(100*AZ43) * (1000 - BI43)/1000</f>
        <v>0</v>
      </c>
      <c r="AH43">
        <v>415.7341796009604</v>
      </c>
      <c r="AI43">
        <v>414.1226242424241</v>
      </c>
      <c r="AJ43">
        <v>0.001049182519638556</v>
      </c>
      <c r="AK43">
        <v>66.94058958355288</v>
      </c>
      <c r="AL43">
        <f>(AN43 - AM43 + BM43*1E3/(8.314*(BO43+273.15)) * AP43/BL43 * AO43) * BL43/(100*AZ43) * 1000/(1000 - AN43)</f>
        <v>0</v>
      </c>
      <c r="AM43">
        <v>25.89864156212745</v>
      </c>
      <c r="AN43">
        <v>26.19367757575758</v>
      </c>
      <c r="AO43">
        <v>0.007019526145341381</v>
      </c>
      <c r="AP43">
        <v>79.76630144025674</v>
      </c>
      <c r="AQ43">
        <v>153</v>
      </c>
      <c r="AR43">
        <v>19</v>
      </c>
      <c r="AS43">
        <f>IF(AQ43*$H$13&gt;=AU43,1.0,(AU43/(AU43-AQ43*$H$13)))</f>
        <v>0</v>
      </c>
      <c r="AT43">
        <f>(AS43-1)*100</f>
        <v>0</v>
      </c>
      <c r="AU43">
        <f>MAX(0,($B$13+$C$13*BT43)/(1+$D$13*BT43)*BM43/(BO43+273)*$E$13)</f>
        <v>0</v>
      </c>
      <c r="AV43">
        <f>$B$11*BU43+$C$11*BV43+$F$11*CG43*(1-CJ43)</f>
        <v>0</v>
      </c>
      <c r="AW43">
        <f>AV43*AX43</f>
        <v>0</v>
      </c>
      <c r="AX43">
        <f>($B$11*$D$9+$C$11*$D$9+$F$11*((CT43+CL43)/MAX(CT43+CL43+CU43, 0.1)*$I$9+CU43/MAX(CT43+CL43+CU43, 0.1)*$J$9))/($B$11+$C$11+$F$11)</f>
        <v>0</v>
      </c>
      <c r="AY43">
        <f>($B$11*$K$9+$C$11*$K$9+$F$11*((CT43+CL43)/MAX(CT43+CL43+CU43, 0.1)*$P$9+CU43/MAX(CT43+CL43+CU43, 0.1)*$Q$9))/($B$11+$C$11+$F$11)</f>
        <v>0</v>
      </c>
      <c r="AZ43">
        <v>6</v>
      </c>
      <c r="BA43">
        <v>0.5</v>
      </c>
      <c r="BB43" t="s">
        <v>353</v>
      </c>
      <c r="BC43">
        <v>2</v>
      </c>
      <c r="BD43" t="b">
        <v>0</v>
      </c>
      <c r="BE43">
        <v>1751825456.849999</v>
      </c>
      <c r="BF43">
        <v>403.2880666666666</v>
      </c>
      <c r="BG43">
        <v>404.9884666666666</v>
      </c>
      <c r="BH43">
        <v>26.11834333333334</v>
      </c>
      <c r="BI43">
        <v>25.86765</v>
      </c>
      <c r="BJ43">
        <v>403.1110666666666</v>
      </c>
      <c r="BK43">
        <v>26.02834333333334</v>
      </c>
      <c r="BL43">
        <v>799.9887999999997</v>
      </c>
      <c r="BM43">
        <v>101.3465</v>
      </c>
      <c r="BN43">
        <v>0.09984812333333333</v>
      </c>
      <c r="BO43">
        <v>32.23406333333333</v>
      </c>
      <c r="BP43">
        <v>32.00136</v>
      </c>
      <c r="BQ43">
        <v>999.9000000000002</v>
      </c>
      <c r="BR43">
        <v>0</v>
      </c>
      <c r="BS43">
        <v>0</v>
      </c>
      <c r="BT43">
        <v>10002.375</v>
      </c>
      <c r="BU43">
        <v>0</v>
      </c>
      <c r="BV43">
        <v>0.001577037333333333</v>
      </c>
      <c r="BW43">
        <v>-1.735256333333333</v>
      </c>
      <c r="BX43">
        <v>414.0873666666667</v>
      </c>
      <c r="BY43">
        <v>415.7427666666667</v>
      </c>
      <c r="BZ43">
        <v>0.2963238333333333</v>
      </c>
      <c r="CA43">
        <v>404.9884666666666</v>
      </c>
      <c r="CB43">
        <v>25.86765</v>
      </c>
      <c r="CC43">
        <v>2.651626666666666</v>
      </c>
      <c r="CD43">
        <v>2.621594666666667</v>
      </c>
      <c r="CE43">
        <v>21.98837333333332</v>
      </c>
      <c r="CF43">
        <v>21.80175333333334</v>
      </c>
      <c r="CG43">
        <v>1000.0102</v>
      </c>
      <c r="CH43">
        <v>0.9600167000000004</v>
      </c>
      <c r="CI43">
        <v>0.03998291333333333</v>
      </c>
      <c r="CJ43">
        <v>0</v>
      </c>
      <c r="CK43">
        <v>1.564</v>
      </c>
      <c r="CL43">
        <v>0</v>
      </c>
      <c r="CM43">
        <v>6600.517666666667</v>
      </c>
      <c r="CN43">
        <v>7947.058333333333</v>
      </c>
      <c r="CO43">
        <v>36.93699999999999</v>
      </c>
      <c r="CP43">
        <v>40</v>
      </c>
      <c r="CQ43">
        <v>38.125</v>
      </c>
      <c r="CR43">
        <v>39.25</v>
      </c>
      <c r="CS43">
        <v>37.729</v>
      </c>
      <c r="CT43">
        <v>960.0290000000001</v>
      </c>
      <c r="CU43">
        <v>39.98033333333333</v>
      </c>
      <c r="CV43">
        <v>0</v>
      </c>
      <c r="CW43">
        <v>1751825483.1</v>
      </c>
      <c r="CX43">
        <v>0</v>
      </c>
      <c r="CY43">
        <v>1751825481.6</v>
      </c>
      <c r="CZ43" t="s">
        <v>436</v>
      </c>
      <c r="DA43">
        <v>1751825480.6</v>
      </c>
      <c r="DB43">
        <v>1751825481.6</v>
      </c>
      <c r="DC43">
        <v>26</v>
      </c>
      <c r="DD43">
        <v>0.035</v>
      </c>
      <c r="DE43">
        <v>-0.034</v>
      </c>
      <c r="DF43">
        <v>0.177</v>
      </c>
      <c r="DG43">
        <v>0.09</v>
      </c>
      <c r="DH43">
        <v>405</v>
      </c>
      <c r="DI43">
        <v>26</v>
      </c>
      <c r="DJ43">
        <v>0.35</v>
      </c>
      <c r="DK43">
        <v>0.14</v>
      </c>
      <c r="DL43">
        <v>-1.738088780487805</v>
      </c>
      <c r="DM43">
        <v>0.04333024390243461</v>
      </c>
      <c r="DN43">
        <v>0.02258894972618918</v>
      </c>
      <c r="DO43">
        <v>1</v>
      </c>
      <c r="DP43">
        <v>0.2876633658536585</v>
      </c>
      <c r="DQ43">
        <v>0.06295105923344911</v>
      </c>
      <c r="DR43">
        <v>0.0253126995609175</v>
      </c>
      <c r="DS43">
        <v>1</v>
      </c>
      <c r="DT43">
        <v>2</v>
      </c>
      <c r="DU43">
        <v>2</v>
      </c>
      <c r="DV43" t="s">
        <v>437</v>
      </c>
      <c r="DW43">
        <v>3.45442</v>
      </c>
      <c r="DX43">
        <v>2.78106</v>
      </c>
      <c r="DY43">
        <v>0.0959708</v>
      </c>
      <c r="DZ43">
        <v>0.0962544</v>
      </c>
      <c r="EA43">
        <v>0.125322</v>
      </c>
      <c r="EB43">
        <v>0.123049</v>
      </c>
      <c r="EC43">
        <v>26982.7</v>
      </c>
      <c r="ED43">
        <v>30683.1</v>
      </c>
      <c r="EE43">
        <v>29010.9</v>
      </c>
      <c r="EF43">
        <v>34560.2</v>
      </c>
      <c r="EG43">
        <v>29351.7</v>
      </c>
      <c r="EH43">
        <v>37498.1</v>
      </c>
      <c r="EI43">
        <v>35712.2</v>
      </c>
      <c r="EJ43">
        <v>45584.1</v>
      </c>
      <c r="EK43">
        <v>2.20863</v>
      </c>
      <c r="EL43">
        <v>2.1109</v>
      </c>
      <c r="EM43">
        <v>0.0572056</v>
      </c>
      <c r="EN43">
        <v>0</v>
      </c>
      <c r="EO43">
        <v>31.1084</v>
      </c>
      <c r="EP43">
        <v>999.9</v>
      </c>
      <c r="EQ43">
        <v>57.1</v>
      </c>
      <c r="ER43">
        <v>32.5</v>
      </c>
      <c r="ES43">
        <v>27.6743</v>
      </c>
      <c r="ET43">
        <v>61.7756</v>
      </c>
      <c r="EU43">
        <v>24.4671</v>
      </c>
      <c r="EV43">
        <v>2</v>
      </c>
      <c r="EW43">
        <v>0.196789</v>
      </c>
      <c r="EX43">
        <v>0</v>
      </c>
      <c r="EY43">
        <v>20.2907</v>
      </c>
      <c r="EZ43">
        <v>5.2104</v>
      </c>
      <c r="FA43">
        <v>11.974</v>
      </c>
      <c r="FB43">
        <v>4.9893</v>
      </c>
      <c r="FC43">
        <v>3.272</v>
      </c>
      <c r="FD43">
        <v>3893.9</v>
      </c>
      <c r="FE43">
        <v>9999</v>
      </c>
      <c r="FF43">
        <v>9999</v>
      </c>
      <c r="FG43">
        <v>999.9</v>
      </c>
      <c r="FH43">
        <v>4.97265</v>
      </c>
      <c r="FI43">
        <v>1.86325</v>
      </c>
      <c r="FJ43">
        <v>1.86522</v>
      </c>
      <c r="FK43">
        <v>1.86368</v>
      </c>
      <c r="FL43">
        <v>1.86356</v>
      </c>
      <c r="FM43">
        <v>1.86404</v>
      </c>
      <c r="FN43">
        <v>1.8605</v>
      </c>
      <c r="FO43">
        <v>1.86329</v>
      </c>
      <c r="FP43">
        <v>0</v>
      </c>
      <c r="FQ43">
        <v>0</v>
      </c>
      <c r="FR43">
        <v>0</v>
      </c>
      <c r="FS43">
        <v>0</v>
      </c>
      <c r="FT43" t="s">
        <v>356</v>
      </c>
      <c r="FU43" t="s">
        <v>357</v>
      </c>
      <c r="FV43" t="s">
        <v>358</v>
      </c>
      <c r="FW43" t="s">
        <v>358</v>
      </c>
      <c r="FX43" t="s">
        <v>358</v>
      </c>
      <c r="FY43" t="s">
        <v>358</v>
      </c>
      <c r="FZ43">
        <v>0</v>
      </c>
      <c r="GA43">
        <v>100</v>
      </c>
      <c r="GB43">
        <v>100</v>
      </c>
      <c r="GC43">
        <v>0.177</v>
      </c>
      <c r="GD43">
        <v>0.09</v>
      </c>
      <c r="GE43">
        <v>0.4253236687800204</v>
      </c>
      <c r="GF43">
        <v>-0.001033730503750798</v>
      </c>
      <c r="GG43">
        <v>9.120241388950126E-07</v>
      </c>
      <c r="GH43">
        <v>-2.246115299815222E-10</v>
      </c>
      <c r="GI43">
        <v>-0.4726678227709159</v>
      </c>
      <c r="GJ43">
        <v>-0.01814858093373864</v>
      </c>
      <c r="GK43">
        <v>0.002091959988359369</v>
      </c>
      <c r="GL43">
        <v>-1.90871700788604E-05</v>
      </c>
      <c r="GM43">
        <v>2</v>
      </c>
      <c r="GN43">
        <v>2210</v>
      </c>
      <c r="GO43">
        <v>1</v>
      </c>
      <c r="GP43">
        <v>26</v>
      </c>
      <c r="GQ43">
        <v>1.5</v>
      </c>
      <c r="GR43">
        <v>1.5</v>
      </c>
      <c r="GS43">
        <v>1.28784</v>
      </c>
      <c r="GT43">
        <v>2.43042</v>
      </c>
      <c r="GU43">
        <v>2.34741</v>
      </c>
      <c r="GV43">
        <v>2.65503</v>
      </c>
      <c r="GW43">
        <v>2.39868</v>
      </c>
      <c r="GX43">
        <v>2.28394</v>
      </c>
      <c r="GY43">
        <v>37.5059</v>
      </c>
      <c r="GZ43">
        <v>15.892</v>
      </c>
      <c r="HA43">
        <v>18</v>
      </c>
      <c r="HB43">
        <v>645.505</v>
      </c>
      <c r="HC43">
        <v>618.653</v>
      </c>
      <c r="HD43">
        <v>31.6553</v>
      </c>
      <c r="HE43">
        <v>30.4013</v>
      </c>
      <c r="HF43">
        <v>30.0005</v>
      </c>
      <c r="HG43">
        <v>30.1721</v>
      </c>
      <c r="HH43">
        <v>30.1113</v>
      </c>
      <c r="HI43">
        <v>25.8465</v>
      </c>
      <c r="HJ43">
        <v>17.8965</v>
      </c>
      <c r="HK43">
        <v>76.253</v>
      </c>
      <c r="HL43">
        <v>-999.9</v>
      </c>
      <c r="HM43">
        <v>405</v>
      </c>
      <c r="HN43">
        <v>25.7688</v>
      </c>
      <c r="HO43">
        <v>99.60680000000001</v>
      </c>
      <c r="HP43">
        <v>99.6867</v>
      </c>
    </row>
    <row r="44" spans="1:224">
      <c r="A44">
        <v>28</v>
      </c>
      <c r="B44">
        <v>1751825594.1</v>
      </c>
      <c r="C44">
        <v>3207.5</v>
      </c>
      <c r="D44" t="s">
        <v>438</v>
      </c>
      <c r="E44" t="s">
        <v>439</v>
      </c>
      <c r="F44">
        <v>15</v>
      </c>
      <c r="G44">
        <v>1751825586.349999</v>
      </c>
      <c r="H44">
        <f>(I44)/1000</f>
        <v>0</v>
      </c>
      <c r="I44">
        <f>IF(BD44, AL44, AF44)</f>
        <v>0</v>
      </c>
      <c r="J44">
        <f>IF(BD44, AG44, AE44)</f>
        <v>0</v>
      </c>
      <c r="K44">
        <f>BF44 - IF(AS44&gt;1, J44*AZ44*100.0/(AU44), 0)</f>
        <v>0</v>
      </c>
      <c r="L44">
        <f>((R44-H44/2)*K44-J44)/(R44+H44/2)</f>
        <v>0</v>
      </c>
      <c r="M44">
        <f>L44*(BM44+BN44)/1000.0</f>
        <v>0</v>
      </c>
      <c r="N44">
        <f>(BF44 - IF(AS44&gt;1, J44*AZ44*100.0/(AU44), 0))*(BM44+BN44)/1000.0</f>
        <v>0</v>
      </c>
      <c r="O44">
        <f>2.0/((1/Q44-1/P44)+SIGN(Q44)*SQRT((1/Q44-1/P44)*(1/Q44-1/P44) + 4*BA44/((BA44+1)*(BA44+1))*(2*1/Q44*1/P44-1/P44*1/P44)))</f>
        <v>0</v>
      </c>
      <c r="P44">
        <f>IF(LEFT(BB44,1)&lt;&gt;"0",IF(LEFT(BB44,1)="1",3.0,BC44),$D$5+$E$5*(BT44*BM44/($K$5*1000))+$F$5*(BT44*BM44/($K$5*1000))*MAX(MIN(AZ44,$J$5),$I$5)*MAX(MIN(AZ44,$J$5),$I$5)+$G$5*MAX(MIN(AZ44,$J$5),$I$5)*(BT44*BM44/($K$5*1000))+$H$5*(BT44*BM44/($K$5*1000))*(BT44*BM44/($K$5*1000)))</f>
        <v>0</v>
      </c>
      <c r="Q44">
        <f>H44*(1000-(1000*0.61365*exp(17.502*U44/(240.97+U44))/(BM44+BN44)+BH44)/2)/(1000*0.61365*exp(17.502*U44/(240.97+U44))/(BM44+BN44)-BH44)</f>
        <v>0</v>
      </c>
      <c r="R44">
        <f>1/((BA44+1)/(O44/1.6)+1/(P44/1.37)) + BA44/((BA44+1)/(O44/1.6) + BA44/(P44/1.37))</f>
        <v>0</v>
      </c>
      <c r="S44">
        <f>(AV44*AY44)</f>
        <v>0</v>
      </c>
      <c r="T44">
        <f>(BO44+(S44+2*0.95*5.67E-8*(((BO44+$B$7)+273)^4-(BO44+273)^4)-44100*H44)/(1.84*29.3*P44+8*0.95*5.67E-8*(BO44+273)^3))</f>
        <v>0</v>
      </c>
      <c r="U44">
        <f>($C$7*BP44+$D$7*BQ44+$E$7*T44)</f>
        <v>0</v>
      </c>
      <c r="V44">
        <f>0.61365*exp(17.502*U44/(240.97+U44))</f>
        <v>0</v>
      </c>
      <c r="W44">
        <f>(X44/Y44*100)</f>
        <v>0</v>
      </c>
      <c r="X44">
        <f>BH44*(BM44+BN44)/1000</f>
        <v>0</v>
      </c>
      <c r="Y44">
        <f>0.61365*exp(17.502*BO44/(240.97+BO44))</f>
        <v>0</v>
      </c>
      <c r="Z44">
        <f>(V44-BH44*(BM44+BN44)/1000)</f>
        <v>0</v>
      </c>
      <c r="AA44">
        <f>(-H44*44100)</f>
        <v>0</v>
      </c>
      <c r="AB44">
        <f>2*29.3*P44*0.92*(BO44-U44)</f>
        <v>0</v>
      </c>
      <c r="AC44">
        <f>2*0.95*5.67E-8*(((BO44+$B$7)+273)^4-(U44+273)^4)</f>
        <v>0</v>
      </c>
      <c r="AD44">
        <f>S44+AC44+AA44+AB44</f>
        <v>0</v>
      </c>
      <c r="AE44">
        <f>BL44*AS44*(BG44-BF44*(1000-AS44*BI44)/(1000-AS44*BH44))/(100*AZ44)</f>
        <v>0</v>
      </c>
      <c r="AF44">
        <f>1000*BL44*AS44*(BH44-BI44)/(100*AZ44*(1000-AS44*BH44))</f>
        <v>0</v>
      </c>
      <c r="AG44">
        <f>(AH44 - AI44 - BM44*1E3/(8.314*(BO44+273.15)) * AK44/BL44 * AJ44) * BL44/(100*AZ44) * (1000 - BI44)/1000</f>
        <v>0</v>
      </c>
      <c r="AH44">
        <v>415.6869729732003</v>
      </c>
      <c r="AI44">
        <v>414.0134787878786</v>
      </c>
      <c r="AJ44">
        <v>-0.0009383660350452637</v>
      </c>
      <c r="AK44">
        <v>66.94107181890466</v>
      </c>
      <c r="AL44">
        <f>(AN44 - AM44 + BM44*1E3/(8.314*(BO44+273.15)) * AP44/BL44 * AO44) * BL44/(100*AZ44) * 1000/(1000 - AN44)</f>
        <v>0</v>
      </c>
      <c r="AM44">
        <v>25.737291884497</v>
      </c>
      <c r="AN44">
        <v>26.02454545454545</v>
      </c>
      <c r="AO44">
        <v>-0.0001550876126798382</v>
      </c>
      <c r="AP44">
        <v>79.69604544601917</v>
      </c>
      <c r="AQ44">
        <v>73</v>
      </c>
      <c r="AR44">
        <v>9</v>
      </c>
      <c r="AS44">
        <f>IF(AQ44*$H$13&gt;=AU44,1.0,(AU44/(AU44-AQ44*$H$13)))</f>
        <v>0</v>
      </c>
      <c r="AT44">
        <f>(AS44-1)*100</f>
        <v>0</v>
      </c>
      <c r="AU44">
        <f>MAX(0,($B$13+$C$13*BT44)/(1+$D$13*BT44)*BM44/(BO44+273)*$E$13)</f>
        <v>0</v>
      </c>
      <c r="AV44">
        <f>$B$11*BU44+$C$11*BV44+$F$11*CG44*(1-CJ44)</f>
        <v>0</v>
      </c>
      <c r="AW44">
        <f>AV44*AX44</f>
        <v>0</v>
      </c>
      <c r="AX44">
        <f>($B$11*$D$9+$C$11*$D$9+$F$11*((CT44+CL44)/MAX(CT44+CL44+CU44, 0.1)*$I$9+CU44/MAX(CT44+CL44+CU44, 0.1)*$J$9))/($B$11+$C$11+$F$11)</f>
        <v>0</v>
      </c>
      <c r="AY44">
        <f>($B$11*$K$9+$C$11*$K$9+$F$11*((CT44+CL44)/MAX(CT44+CL44+CU44, 0.1)*$P$9+CU44/MAX(CT44+CL44+CU44, 0.1)*$Q$9))/($B$11+$C$11+$F$11)</f>
        <v>0</v>
      </c>
      <c r="AZ44">
        <v>6</v>
      </c>
      <c r="BA44">
        <v>0.5</v>
      </c>
      <c r="BB44" t="s">
        <v>353</v>
      </c>
      <c r="BC44">
        <v>2</v>
      </c>
      <c r="BD44" t="b">
        <v>0</v>
      </c>
      <c r="BE44">
        <v>1751825586.349999</v>
      </c>
      <c r="BF44">
        <v>403.2618666666667</v>
      </c>
      <c r="BG44">
        <v>405.0111333333334</v>
      </c>
      <c r="BH44">
        <v>26.01537666666668</v>
      </c>
      <c r="BI44">
        <v>25.74311</v>
      </c>
      <c r="BJ44">
        <v>403.1148666666667</v>
      </c>
      <c r="BK44">
        <v>25.94437666666667</v>
      </c>
      <c r="BL44">
        <v>799.9940333333333</v>
      </c>
      <c r="BM44">
        <v>101.3435333333333</v>
      </c>
      <c r="BN44">
        <v>0.09970825666666669</v>
      </c>
      <c r="BO44">
        <v>32.15739333333333</v>
      </c>
      <c r="BP44">
        <v>31.90375999999999</v>
      </c>
      <c r="BQ44">
        <v>999.9000000000002</v>
      </c>
      <c r="BR44">
        <v>0</v>
      </c>
      <c r="BS44">
        <v>0</v>
      </c>
      <c r="BT44">
        <v>10000.71</v>
      </c>
      <c r="BU44">
        <v>0</v>
      </c>
      <c r="BV44">
        <v>0.001560474</v>
      </c>
      <c r="BW44">
        <v>-1.718963333333333</v>
      </c>
      <c r="BX44">
        <v>414.0752</v>
      </c>
      <c r="BY44">
        <v>415.7128333333333</v>
      </c>
      <c r="BZ44">
        <v>0.2982876666666667</v>
      </c>
      <c r="CA44">
        <v>405.0111333333334</v>
      </c>
      <c r="CB44">
        <v>25.74311</v>
      </c>
      <c r="CC44">
        <v>2.639127</v>
      </c>
      <c r="CD44">
        <v>2.608896999999999</v>
      </c>
      <c r="CE44">
        <v>21.91092666666667</v>
      </c>
      <c r="CF44">
        <v>21.72227333333333</v>
      </c>
      <c r="CG44">
        <v>1000.013533333333</v>
      </c>
      <c r="CH44">
        <v>0.9600088666666662</v>
      </c>
      <c r="CI44">
        <v>0.03999112666666668</v>
      </c>
      <c r="CJ44">
        <v>0</v>
      </c>
      <c r="CK44">
        <v>1.5295</v>
      </c>
      <c r="CL44">
        <v>0</v>
      </c>
      <c r="CM44">
        <v>4691.963999999999</v>
      </c>
      <c r="CN44">
        <v>7947.056</v>
      </c>
      <c r="CO44">
        <v>36.90599999999999</v>
      </c>
      <c r="CP44">
        <v>40</v>
      </c>
      <c r="CQ44">
        <v>38.10609999999999</v>
      </c>
      <c r="CR44">
        <v>39.25</v>
      </c>
      <c r="CS44">
        <v>37.75</v>
      </c>
      <c r="CT44">
        <v>960.0226666666666</v>
      </c>
      <c r="CU44">
        <v>39.99</v>
      </c>
      <c r="CV44">
        <v>0</v>
      </c>
      <c r="CW44">
        <v>1751825612.7</v>
      </c>
      <c r="CX44">
        <v>0</v>
      </c>
      <c r="CY44">
        <v>1751825617.6</v>
      </c>
      <c r="CZ44" t="s">
        <v>440</v>
      </c>
      <c r="DA44">
        <v>1751825617.6</v>
      </c>
      <c r="DB44">
        <v>1751825610.1</v>
      </c>
      <c r="DC44">
        <v>27</v>
      </c>
      <c r="DD44">
        <v>-0.029</v>
      </c>
      <c r="DE44">
        <v>-0.014</v>
      </c>
      <c r="DF44">
        <v>0.147</v>
      </c>
      <c r="DG44">
        <v>0.07099999999999999</v>
      </c>
      <c r="DH44">
        <v>405</v>
      </c>
      <c r="DI44">
        <v>26</v>
      </c>
      <c r="DJ44">
        <v>0.29</v>
      </c>
      <c r="DK44">
        <v>0.19</v>
      </c>
      <c r="DL44">
        <v>-1.716236585365854</v>
      </c>
      <c r="DM44">
        <v>-0.02652459930313718</v>
      </c>
      <c r="DN44">
        <v>0.01483533530817984</v>
      </c>
      <c r="DO44">
        <v>1</v>
      </c>
      <c r="DP44">
        <v>0.2921700487804878</v>
      </c>
      <c r="DQ44">
        <v>0.07408256445993075</v>
      </c>
      <c r="DR44">
        <v>0.01998741591046997</v>
      </c>
      <c r="DS44">
        <v>1</v>
      </c>
      <c r="DT44">
        <v>2</v>
      </c>
      <c r="DU44">
        <v>2</v>
      </c>
      <c r="DV44" t="s">
        <v>437</v>
      </c>
      <c r="DW44">
        <v>3.45431</v>
      </c>
      <c r="DX44">
        <v>2.7803</v>
      </c>
      <c r="DY44">
        <v>0.0959388</v>
      </c>
      <c r="DZ44">
        <v>0.0962416</v>
      </c>
      <c r="EA44">
        <v>0.124868</v>
      </c>
      <c r="EB44">
        <v>0.122514</v>
      </c>
      <c r="EC44">
        <v>26982.8</v>
      </c>
      <c r="ED44">
        <v>30683.1</v>
      </c>
      <c r="EE44">
        <v>29010.1</v>
      </c>
      <c r="EF44">
        <v>34560</v>
      </c>
      <c r="EG44">
        <v>29367</v>
      </c>
      <c r="EH44">
        <v>37520.6</v>
      </c>
      <c r="EI44">
        <v>35711.9</v>
      </c>
      <c r="EJ44">
        <v>45583.4</v>
      </c>
      <c r="EK44">
        <v>2.33262</v>
      </c>
      <c r="EL44">
        <v>2.10943</v>
      </c>
      <c r="EM44">
        <v>0.0592731</v>
      </c>
      <c r="EN44">
        <v>0</v>
      </c>
      <c r="EO44">
        <v>30.9607</v>
      </c>
      <c r="EP44">
        <v>999.9</v>
      </c>
      <c r="EQ44">
        <v>58.7</v>
      </c>
      <c r="ER44">
        <v>32.7</v>
      </c>
      <c r="ES44">
        <v>28.7733</v>
      </c>
      <c r="ET44">
        <v>61.6156</v>
      </c>
      <c r="EU44">
        <v>24.5232</v>
      </c>
      <c r="EV44">
        <v>2</v>
      </c>
      <c r="EW44">
        <v>0.198925</v>
      </c>
      <c r="EX44">
        <v>0</v>
      </c>
      <c r="EY44">
        <v>20.29</v>
      </c>
      <c r="EZ44">
        <v>5.20711</v>
      </c>
      <c r="FA44">
        <v>11.974</v>
      </c>
      <c r="FB44">
        <v>4.9886</v>
      </c>
      <c r="FC44">
        <v>3.27125</v>
      </c>
      <c r="FD44">
        <v>3897.7</v>
      </c>
      <c r="FE44">
        <v>9999</v>
      </c>
      <c r="FF44">
        <v>9999</v>
      </c>
      <c r="FG44">
        <v>999.9</v>
      </c>
      <c r="FH44">
        <v>4.97265</v>
      </c>
      <c r="FI44">
        <v>1.86325</v>
      </c>
      <c r="FJ44">
        <v>1.86522</v>
      </c>
      <c r="FK44">
        <v>1.86371</v>
      </c>
      <c r="FL44">
        <v>1.86358</v>
      </c>
      <c r="FM44">
        <v>1.86406</v>
      </c>
      <c r="FN44">
        <v>1.8605</v>
      </c>
      <c r="FO44">
        <v>1.86336</v>
      </c>
      <c r="FP44">
        <v>0</v>
      </c>
      <c r="FQ44">
        <v>0</v>
      </c>
      <c r="FR44">
        <v>0</v>
      </c>
      <c r="FS44">
        <v>0</v>
      </c>
      <c r="FT44" t="s">
        <v>356</v>
      </c>
      <c r="FU44" t="s">
        <v>357</v>
      </c>
      <c r="FV44" t="s">
        <v>358</v>
      </c>
      <c r="FW44" t="s">
        <v>358</v>
      </c>
      <c r="FX44" t="s">
        <v>358</v>
      </c>
      <c r="FY44" t="s">
        <v>358</v>
      </c>
      <c r="FZ44">
        <v>0</v>
      </c>
      <c r="GA44">
        <v>100</v>
      </c>
      <c r="GB44">
        <v>100</v>
      </c>
      <c r="GC44">
        <v>0.147</v>
      </c>
      <c r="GD44">
        <v>0.07099999999999999</v>
      </c>
      <c r="GE44">
        <v>0.4604880709093729</v>
      </c>
      <c r="GF44">
        <v>-0.001033730503750798</v>
      </c>
      <c r="GG44">
        <v>9.120241388950126E-07</v>
      </c>
      <c r="GH44">
        <v>-2.246115299815222E-10</v>
      </c>
      <c r="GI44">
        <v>-0.5069136078427132</v>
      </c>
      <c r="GJ44">
        <v>-0.01814858093373864</v>
      </c>
      <c r="GK44">
        <v>0.002091959988359369</v>
      </c>
      <c r="GL44">
        <v>-1.90871700788604E-05</v>
      </c>
      <c r="GM44">
        <v>2</v>
      </c>
      <c r="GN44">
        <v>2210</v>
      </c>
      <c r="GO44">
        <v>1</v>
      </c>
      <c r="GP44">
        <v>26</v>
      </c>
      <c r="GQ44">
        <v>1.9</v>
      </c>
      <c r="GR44">
        <v>1.9</v>
      </c>
      <c r="GS44">
        <v>1.28906</v>
      </c>
      <c r="GT44">
        <v>2.42188</v>
      </c>
      <c r="GU44">
        <v>2.34741</v>
      </c>
      <c r="GV44">
        <v>2.65625</v>
      </c>
      <c r="GW44">
        <v>2.39868</v>
      </c>
      <c r="GX44">
        <v>2.32788</v>
      </c>
      <c r="GY44">
        <v>37.6745</v>
      </c>
      <c r="GZ44">
        <v>15.8745</v>
      </c>
      <c r="HA44">
        <v>18</v>
      </c>
      <c r="HB44">
        <v>743.134</v>
      </c>
      <c r="HC44">
        <v>617.978</v>
      </c>
      <c r="HD44">
        <v>31.7551</v>
      </c>
      <c r="HE44">
        <v>30.4582</v>
      </c>
      <c r="HF44">
        <v>30</v>
      </c>
      <c r="HG44">
        <v>30.2193</v>
      </c>
      <c r="HH44">
        <v>30.1591</v>
      </c>
      <c r="HI44">
        <v>25.8582</v>
      </c>
      <c r="HJ44">
        <v>20.4644</v>
      </c>
      <c r="HK44">
        <v>86.23390000000001</v>
      </c>
      <c r="HL44">
        <v>-999.9</v>
      </c>
      <c r="HM44">
        <v>405</v>
      </c>
      <c r="HN44">
        <v>25.7734</v>
      </c>
      <c r="HO44">
        <v>99.60509999999999</v>
      </c>
      <c r="HP44">
        <v>99.68559999999999</v>
      </c>
    </row>
    <row r="45" spans="1:224">
      <c r="A45">
        <v>29</v>
      </c>
      <c r="B45">
        <v>1751825716.6</v>
      </c>
      <c r="C45">
        <v>3330</v>
      </c>
      <c r="D45" t="s">
        <v>441</v>
      </c>
      <c r="E45" t="s">
        <v>442</v>
      </c>
      <c r="F45">
        <v>15</v>
      </c>
      <c r="G45">
        <v>1751825708.599999</v>
      </c>
      <c r="H45">
        <f>(I45)/1000</f>
        <v>0</v>
      </c>
      <c r="I45">
        <f>IF(BD45, AL45, AF45)</f>
        <v>0</v>
      </c>
      <c r="J45">
        <f>IF(BD45, AG45, AE45)</f>
        <v>0</v>
      </c>
      <c r="K45">
        <f>BF45 - IF(AS45&gt;1, J45*AZ45*100.0/(AU45), 0)</f>
        <v>0</v>
      </c>
      <c r="L45">
        <f>((R45-H45/2)*K45-J45)/(R45+H45/2)</f>
        <v>0</v>
      </c>
      <c r="M45">
        <f>L45*(BM45+BN45)/1000.0</f>
        <v>0</v>
      </c>
      <c r="N45">
        <f>(BF45 - IF(AS45&gt;1, J45*AZ45*100.0/(AU45), 0))*(BM45+BN45)/1000.0</f>
        <v>0</v>
      </c>
      <c r="O45">
        <f>2.0/((1/Q45-1/P45)+SIGN(Q45)*SQRT((1/Q45-1/P45)*(1/Q45-1/P45) + 4*BA45/((BA45+1)*(BA45+1))*(2*1/Q45*1/P45-1/P45*1/P45)))</f>
        <v>0</v>
      </c>
      <c r="P45">
        <f>IF(LEFT(BB45,1)&lt;&gt;"0",IF(LEFT(BB45,1)="1",3.0,BC45),$D$5+$E$5*(BT45*BM45/($K$5*1000))+$F$5*(BT45*BM45/($K$5*1000))*MAX(MIN(AZ45,$J$5),$I$5)*MAX(MIN(AZ45,$J$5),$I$5)+$G$5*MAX(MIN(AZ45,$J$5),$I$5)*(BT45*BM45/($K$5*1000))+$H$5*(BT45*BM45/($K$5*1000))*(BT45*BM45/($K$5*1000)))</f>
        <v>0</v>
      </c>
      <c r="Q45">
        <f>H45*(1000-(1000*0.61365*exp(17.502*U45/(240.97+U45))/(BM45+BN45)+BH45)/2)/(1000*0.61365*exp(17.502*U45/(240.97+U45))/(BM45+BN45)-BH45)</f>
        <v>0</v>
      </c>
      <c r="R45">
        <f>1/((BA45+1)/(O45/1.6)+1/(P45/1.37)) + BA45/((BA45+1)/(O45/1.6) + BA45/(P45/1.37))</f>
        <v>0</v>
      </c>
      <c r="S45">
        <f>(AV45*AY45)</f>
        <v>0</v>
      </c>
      <c r="T45">
        <f>(BO45+(S45+2*0.95*5.67E-8*(((BO45+$B$7)+273)^4-(BO45+273)^4)-44100*H45)/(1.84*29.3*P45+8*0.95*5.67E-8*(BO45+273)^3))</f>
        <v>0</v>
      </c>
      <c r="U45">
        <f>($C$7*BP45+$D$7*BQ45+$E$7*T45)</f>
        <v>0</v>
      </c>
      <c r="V45">
        <f>0.61365*exp(17.502*U45/(240.97+U45))</f>
        <v>0</v>
      </c>
      <c r="W45">
        <f>(X45/Y45*100)</f>
        <v>0</v>
      </c>
      <c r="X45">
        <f>BH45*(BM45+BN45)/1000</f>
        <v>0</v>
      </c>
      <c r="Y45">
        <f>0.61365*exp(17.502*BO45/(240.97+BO45))</f>
        <v>0</v>
      </c>
      <c r="Z45">
        <f>(V45-BH45*(BM45+BN45)/1000)</f>
        <v>0</v>
      </c>
      <c r="AA45">
        <f>(-H45*44100)</f>
        <v>0</v>
      </c>
      <c r="AB45">
        <f>2*29.3*P45*0.92*(BO45-U45)</f>
        <v>0</v>
      </c>
      <c r="AC45">
        <f>2*0.95*5.67E-8*(((BO45+$B$7)+273)^4-(U45+273)^4)</f>
        <v>0</v>
      </c>
      <c r="AD45">
        <f>S45+AC45+AA45+AB45</f>
        <v>0</v>
      </c>
      <c r="AE45">
        <f>BL45*AS45*(BG45-BF45*(1000-AS45*BI45)/(1000-AS45*BH45))/(100*AZ45)</f>
        <v>0</v>
      </c>
      <c r="AF45">
        <f>1000*BL45*AS45*(BH45-BI45)/(100*AZ45*(1000-AS45*BH45))</f>
        <v>0</v>
      </c>
      <c r="AG45">
        <f>(AH45 - AI45 - BM45*1E3/(8.314*(BO45+273.15)) * AK45/BL45 * AJ45) * BL45/(100*AZ45) * (1000 - BI45)/1000</f>
        <v>0</v>
      </c>
      <c r="AH45">
        <v>415.4169984365498</v>
      </c>
      <c r="AI45">
        <v>413.7664909090907</v>
      </c>
      <c r="AJ45">
        <v>-0.003101769135756998</v>
      </c>
      <c r="AK45">
        <v>66.94094533634251</v>
      </c>
      <c r="AL45">
        <f>(AN45 - AM45 + BM45*1E3/(8.314*(BO45+273.15)) * AP45/BL45 * AO45) * BL45/(100*AZ45) * 1000/(1000 - AN45)</f>
        <v>0</v>
      </c>
      <c r="AM45">
        <v>25.09465686092591</v>
      </c>
      <c r="AN45">
        <v>26.02217757575756</v>
      </c>
      <c r="AO45">
        <v>-0.0006790412117193989</v>
      </c>
      <c r="AP45">
        <v>79.70424865544133</v>
      </c>
      <c r="AQ45">
        <v>51</v>
      </c>
      <c r="AR45">
        <v>6</v>
      </c>
      <c r="AS45">
        <f>IF(AQ45*$H$13&gt;=AU45,1.0,(AU45/(AU45-AQ45*$H$13)))</f>
        <v>0</v>
      </c>
      <c r="AT45">
        <f>(AS45-1)*100</f>
        <v>0</v>
      </c>
      <c r="AU45">
        <f>MAX(0,($B$13+$C$13*BT45)/(1+$D$13*BT45)*BM45/(BO45+273)*$E$13)</f>
        <v>0</v>
      </c>
      <c r="AV45">
        <f>$B$11*BU45+$C$11*BV45+$F$11*CG45*(1-CJ45)</f>
        <v>0</v>
      </c>
      <c r="AW45">
        <f>AV45*AX45</f>
        <v>0</v>
      </c>
      <c r="AX45">
        <f>($B$11*$D$9+$C$11*$D$9+$F$11*((CT45+CL45)/MAX(CT45+CL45+CU45, 0.1)*$I$9+CU45/MAX(CT45+CL45+CU45, 0.1)*$J$9))/($B$11+$C$11+$F$11)</f>
        <v>0</v>
      </c>
      <c r="AY45">
        <f>($B$11*$K$9+$C$11*$K$9+$F$11*((CT45+CL45)/MAX(CT45+CL45+CU45, 0.1)*$P$9+CU45/MAX(CT45+CL45+CU45, 0.1)*$Q$9))/($B$11+$C$11+$F$11)</f>
        <v>0</v>
      </c>
      <c r="AZ45">
        <v>6</v>
      </c>
      <c r="BA45">
        <v>0.5</v>
      </c>
      <c r="BB45" t="s">
        <v>353</v>
      </c>
      <c r="BC45">
        <v>2</v>
      </c>
      <c r="BD45" t="b">
        <v>0</v>
      </c>
      <c r="BE45">
        <v>1751825708.599999</v>
      </c>
      <c r="BF45">
        <v>403.0579032258065</v>
      </c>
      <c r="BG45">
        <v>405.0339677419355</v>
      </c>
      <c r="BH45">
        <v>26.01793225806452</v>
      </c>
      <c r="BI45">
        <v>25.14047741935484</v>
      </c>
      <c r="BJ45">
        <v>402.9149032258065</v>
      </c>
      <c r="BK45">
        <v>25.97593225806452</v>
      </c>
      <c r="BL45">
        <v>799.9904193548388</v>
      </c>
      <c r="BM45">
        <v>101.3396774193549</v>
      </c>
      <c r="BN45">
        <v>0.1001692258064516</v>
      </c>
      <c r="BO45">
        <v>32.06969354838709</v>
      </c>
      <c r="BP45">
        <v>31.55637096774193</v>
      </c>
      <c r="BQ45">
        <v>999.9000000000003</v>
      </c>
      <c r="BR45">
        <v>0</v>
      </c>
      <c r="BS45">
        <v>0</v>
      </c>
      <c r="BT45">
        <v>9984.675806451613</v>
      </c>
      <c r="BU45">
        <v>0</v>
      </c>
      <c r="BV45">
        <v>0.001529864516129032</v>
      </c>
      <c r="BW45">
        <v>-1.970975806451613</v>
      </c>
      <c r="BX45">
        <v>413.8480967741935</v>
      </c>
      <c r="BY45">
        <v>415.4793870967742</v>
      </c>
      <c r="BZ45">
        <v>0.9199784516129033</v>
      </c>
      <c r="CA45">
        <v>405.0339677419355</v>
      </c>
      <c r="CB45">
        <v>25.14047741935484</v>
      </c>
      <c r="CC45">
        <v>2.640961935483871</v>
      </c>
      <c r="CD45">
        <v>2.547731935483871</v>
      </c>
      <c r="CE45">
        <v>21.9223</v>
      </c>
      <c r="CF45">
        <v>21.33465161290323</v>
      </c>
      <c r="CG45">
        <v>999.9696774193549</v>
      </c>
      <c r="CH45">
        <v>0.9600131935483869</v>
      </c>
      <c r="CI45">
        <v>0.03998690967741936</v>
      </c>
      <c r="CJ45">
        <v>0</v>
      </c>
      <c r="CK45">
        <v>0.7493548387096772</v>
      </c>
      <c r="CL45">
        <v>0</v>
      </c>
      <c r="CM45">
        <v>4948.464193548389</v>
      </c>
      <c r="CN45">
        <v>7946.715806451613</v>
      </c>
      <c r="CO45">
        <v>36.87093548387097</v>
      </c>
      <c r="CP45">
        <v>39.879</v>
      </c>
      <c r="CQ45">
        <v>38</v>
      </c>
      <c r="CR45">
        <v>39.18699999999998</v>
      </c>
      <c r="CS45">
        <v>37.68699999999998</v>
      </c>
      <c r="CT45">
        <v>959.9838709677418</v>
      </c>
      <c r="CU45">
        <v>39.98612903225806</v>
      </c>
      <c r="CV45">
        <v>0</v>
      </c>
      <c r="CW45">
        <v>1751825735.1</v>
      </c>
      <c r="CX45">
        <v>0</v>
      </c>
      <c r="CY45">
        <v>1751825735.6</v>
      </c>
      <c r="CZ45" t="s">
        <v>443</v>
      </c>
      <c r="DA45">
        <v>1751825732.6</v>
      </c>
      <c r="DB45">
        <v>1751825735.6</v>
      </c>
      <c r="DC45">
        <v>28</v>
      </c>
      <c r="DD45">
        <v>-0.004</v>
      </c>
      <c r="DE45">
        <v>0.01</v>
      </c>
      <c r="DF45">
        <v>0.143</v>
      </c>
      <c r="DG45">
        <v>0.042</v>
      </c>
      <c r="DH45">
        <v>405</v>
      </c>
      <c r="DI45">
        <v>25</v>
      </c>
      <c r="DJ45">
        <v>0.17</v>
      </c>
      <c r="DK45">
        <v>0.11</v>
      </c>
      <c r="DL45">
        <v>-1.958282</v>
      </c>
      <c r="DM45">
        <v>-0.2909524953095649</v>
      </c>
      <c r="DN45">
        <v>0.03451554412145346</v>
      </c>
      <c r="DO45">
        <v>0</v>
      </c>
      <c r="DP45">
        <v>0.906462375</v>
      </c>
      <c r="DQ45">
        <v>0.2641913583489661</v>
      </c>
      <c r="DR45">
        <v>0.03050435499948123</v>
      </c>
      <c r="DS45">
        <v>0</v>
      </c>
      <c r="DT45">
        <v>0</v>
      </c>
      <c r="DU45">
        <v>2</v>
      </c>
      <c r="DV45" t="s">
        <v>365</v>
      </c>
      <c r="DW45">
        <v>3.45396</v>
      </c>
      <c r="DX45">
        <v>2.78066</v>
      </c>
      <c r="DY45">
        <v>0.0959021</v>
      </c>
      <c r="DZ45">
        <v>0.0962401</v>
      </c>
      <c r="EA45">
        <v>0.124892</v>
      </c>
      <c r="EB45">
        <v>0.120222</v>
      </c>
      <c r="EC45">
        <v>26986.4</v>
      </c>
      <c r="ED45">
        <v>30686.1</v>
      </c>
      <c r="EE45">
        <v>29012.7</v>
      </c>
      <c r="EF45">
        <v>34563.3</v>
      </c>
      <c r="EG45">
        <v>29369.1</v>
      </c>
      <c r="EH45">
        <v>37622.7</v>
      </c>
      <c r="EI45">
        <v>35715.5</v>
      </c>
      <c r="EJ45">
        <v>45588.5</v>
      </c>
      <c r="EK45">
        <v>2.36457</v>
      </c>
      <c r="EL45">
        <v>2.1068</v>
      </c>
      <c r="EM45">
        <v>0.0591725</v>
      </c>
      <c r="EN45">
        <v>0</v>
      </c>
      <c r="EO45">
        <v>30.6265</v>
      </c>
      <c r="EP45">
        <v>999.9</v>
      </c>
      <c r="EQ45">
        <v>59.2</v>
      </c>
      <c r="ER45">
        <v>32.9</v>
      </c>
      <c r="ES45">
        <v>29.3479</v>
      </c>
      <c r="ET45">
        <v>60.8756</v>
      </c>
      <c r="EU45">
        <v>24.5833</v>
      </c>
      <c r="EV45">
        <v>2</v>
      </c>
      <c r="EW45">
        <v>0.196471</v>
      </c>
      <c r="EX45">
        <v>0</v>
      </c>
      <c r="EY45">
        <v>20.2906</v>
      </c>
      <c r="EZ45">
        <v>5.2092</v>
      </c>
      <c r="FA45">
        <v>11.974</v>
      </c>
      <c r="FB45">
        <v>4.9896</v>
      </c>
      <c r="FC45">
        <v>3.272</v>
      </c>
      <c r="FD45">
        <v>3901.4</v>
      </c>
      <c r="FE45">
        <v>9999</v>
      </c>
      <c r="FF45">
        <v>9999</v>
      </c>
      <c r="FG45">
        <v>999.9</v>
      </c>
      <c r="FH45">
        <v>4.97267</v>
      </c>
      <c r="FI45">
        <v>1.86325</v>
      </c>
      <c r="FJ45">
        <v>1.86522</v>
      </c>
      <c r="FK45">
        <v>1.86368</v>
      </c>
      <c r="FL45">
        <v>1.86364</v>
      </c>
      <c r="FM45">
        <v>1.86408</v>
      </c>
      <c r="FN45">
        <v>1.86053</v>
      </c>
      <c r="FO45">
        <v>1.86338</v>
      </c>
      <c r="FP45">
        <v>0</v>
      </c>
      <c r="FQ45">
        <v>0</v>
      </c>
      <c r="FR45">
        <v>0</v>
      </c>
      <c r="FS45">
        <v>0</v>
      </c>
      <c r="FT45" t="s">
        <v>356</v>
      </c>
      <c r="FU45" t="s">
        <v>357</v>
      </c>
      <c r="FV45" t="s">
        <v>358</v>
      </c>
      <c r="FW45" t="s">
        <v>358</v>
      </c>
      <c r="FX45" t="s">
        <v>358</v>
      </c>
      <c r="FY45" t="s">
        <v>358</v>
      </c>
      <c r="FZ45">
        <v>0</v>
      </c>
      <c r="GA45">
        <v>100</v>
      </c>
      <c r="GB45">
        <v>100</v>
      </c>
      <c r="GC45">
        <v>0.143</v>
      </c>
      <c r="GD45">
        <v>0.042</v>
      </c>
      <c r="GE45">
        <v>0.4312112049129868</v>
      </c>
      <c r="GF45">
        <v>-0.001033730503750798</v>
      </c>
      <c r="GG45">
        <v>9.120241388950126E-07</v>
      </c>
      <c r="GH45">
        <v>-2.246115299815222E-10</v>
      </c>
      <c r="GI45">
        <v>-0.5210478045343819</v>
      </c>
      <c r="GJ45">
        <v>-0.01814858093373864</v>
      </c>
      <c r="GK45">
        <v>0.002091959988359369</v>
      </c>
      <c r="GL45">
        <v>-1.90871700788604E-05</v>
      </c>
      <c r="GM45">
        <v>2</v>
      </c>
      <c r="GN45">
        <v>2210</v>
      </c>
      <c r="GO45">
        <v>1</v>
      </c>
      <c r="GP45">
        <v>26</v>
      </c>
      <c r="GQ45">
        <v>1.6</v>
      </c>
      <c r="GR45">
        <v>1.8</v>
      </c>
      <c r="GS45">
        <v>1.28906</v>
      </c>
      <c r="GT45">
        <v>2.43286</v>
      </c>
      <c r="GU45">
        <v>2.34741</v>
      </c>
      <c r="GV45">
        <v>2.65381</v>
      </c>
      <c r="GW45">
        <v>2.39868</v>
      </c>
      <c r="GX45">
        <v>2.29492</v>
      </c>
      <c r="GY45">
        <v>37.7711</v>
      </c>
      <c r="GZ45">
        <v>15.8569</v>
      </c>
      <c r="HA45">
        <v>18</v>
      </c>
      <c r="HB45">
        <v>769.853</v>
      </c>
      <c r="HC45">
        <v>615.8390000000001</v>
      </c>
      <c r="HD45">
        <v>31.7456</v>
      </c>
      <c r="HE45">
        <v>30.4384</v>
      </c>
      <c r="HF45">
        <v>30</v>
      </c>
      <c r="HG45">
        <v>30.2115</v>
      </c>
      <c r="HH45">
        <v>30.1539</v>
      </c>
      <c r="HI45">
        <v>25.8598</v>
      </c>
      <c r="HJ45">
        <v>23.8437</v>
      </c>
      <c r="HK45">
        <v>90.06480000000001</v>
      </c>
      <c r="HL45">
        <v>-999.9</v>
      </c>
      <c r="HM45">
        <v>405</v>
      </c>
      <c r="HN45">
        <v>24.939</v>
      </c>
      <c r="HO45">
        <v>99.6147</v>
      </c>
      <c r="HP45">
        <v>99.696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25</v>
      </c>
    </row>
    <row r="15" spans="1:2">
      <c r="A15" t="s">
        <v>27</v>
      </c>
      <c r="B15" t="s">
        <v>23</v>
      </c>
    </row>
    <row r="16" spans="1:2">
      <c r="A16" t="s">
        <v>28</v>
      </c>
      <c r="B16" t="s">
        <v>11</v>
      </c>
    </row>
    <row r="17" spans="1:2">
      <c r="A17" t="s">
        <v>29</v>
      </c>
      <c r="B1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2025-07-06T18:05:43Z</dcterms:created>
  <dcterms:modified xsi:type="dcterms:W3CDTF">2025-07-06T18:05:43Z</dcterms:modified>
</cp:coreProperties>
</file>