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<sst xmlns="http://schemas.openxmlformats.org/spreadsheetml/2006/main" count="1759" uniqueCount="527">
  <si>
    <t>File opened</t>
  </si>
  <si>
    <t>2025-06-22 08:56:36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</si>
  <si>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</si>
  <si>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</si>
  <si>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</si>
  <si>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</si>
  <si>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</si>
  <si>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</si>
  <si>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</si>
  <si>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</si>
  <si>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</si>
  <si>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</si>
  <si>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</si>
  <si>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</si>
  <si>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</si>
  <si>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</si>
  <si>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</si>
  <si>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</si>
  <si>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</si>
  <si>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</si>
  <si>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</si>
  <si>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</si>
  <si>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</si>
  <si>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</si>
  <si>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</si>
  <si>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</si>
  <si>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</si>
  <si>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</si>
  <si>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</si>
  <si>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08:56:36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</si>
  <si>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</si>
  <si>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</si>
  <si>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</si>
  <si>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</si>
  <si>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</si>
  <si>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</si>
  <si>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</si>
  <si>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</si>
  <si>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</si>
  <si>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</si>
  <si>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</si>
  <si>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</si>
  <si>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</si>
  <si>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</si>
  <si>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</si>
  <si>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</si>
  <si>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</si>
  <si>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</si>
  <si>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</si>
  <si>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</si>
  <si>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</si>
  <si>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</si>
  <si>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</si>
  <si>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</si>
  <si>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</si>
  <si>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</si>
  <si>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</si>
  <si>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</si>
  <si>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</si>
  <si>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</si>
  <si>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</si>
  <si>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</si>
  <si>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</si>
  <si>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</si>
  <si>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</si>
  <si>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</si>
  <si>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</si>
  <si>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</si>
  <si>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</si>
  <si>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</si>
  <si>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</si>
  <si>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</si>
  <si>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</si>
  <si>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</si>
  <si>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</si>
  <si>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</si>
  <si>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</si>
  <si>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</si>
  <si>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</si>
  <si>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</si>
  <si>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</si>
  <si>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</si>
  <si>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</si>
  <si>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1.53972 193.818 337.293 544.477 816.221 1023.31 1207.37 1370.74</t>
  </si>
  <si>
    <t>Fs_true</t>
  </si>
  <si>
    <t>0.284409 225.057 386.367 583.571 811.901 1001.57 1201.99 1400.77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</si>
  <si>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</si>
  <si>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</si>
  <si>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</si>
  <si>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</si>
  <si>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</si>
  <si>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</si>
  <si>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</si>
  <si>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</si>
  <si>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</si>
  <si>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</si>
  <si>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</si>
  <si>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</si>
  <si>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</si>
  <si>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</si>
  <si>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</si>
  <si>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</si>
  <si>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</si>
  <si>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</si>
  <si>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</si>
  <si>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</si>
  <si>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</si>
  <si>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</si>
  <si>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</si>
  <si>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</si>
  <si>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</si>
  <si>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</si>
  <si>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</si>
  <si>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</si>
  <si>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</si>
  <si>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</si>
  <si>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</si>
  <si>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</si>
  <si>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</si>
  <si>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</si>
  <si>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</si>
  <si>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</si>
  <si>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</si>
  <si>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</si>
  <si>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</si>
  <si>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</si>
  <si>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</si>
  <si>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</si>
  <si>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</si>
  <si>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</si>
  <si>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</si>
  <si>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</si>
  <si>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</si>
  <si>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</si>
  <si>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</si>
  <si>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</si>
  <si>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</si>
  <si>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</si>
  <si>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</si>
  <si>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</si>
  <si>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</si>
  <si>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</si>
  <si>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</si>
  <si>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</si>
  <si>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</si>
  <si>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</si>
  <si>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</si>
  <si>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</si>
  <si>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</si>
  <si>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</si>
  <si>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</si>
  <si>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</si>
  <si>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</si>
  <si>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</si>
  <si>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</si>
  <si>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</si>
  <si>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</si>
  <si>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</si>
  <si>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</si>
  <si>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</si>
  <si>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</si>
  <si>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</si>
  <si>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</si>
  <si>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</si>
  <si>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</si>
  <si>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</si>
  <si>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</si>
  <si>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</si>
  <si>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</si>
  <si>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</si>
  <si>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</si>
  <si>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</si>
  <si>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</si>
  <si>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</si>
  <si>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</si>
  <si>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</si>
  <si>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</si>
  <si>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</si>
  <si>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</si>
  <si>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</si>
  <si>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</si>
  <si>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</si>
  <si>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</si>
  <si>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</si>
  <si>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</si>
  <si>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</si>
  <si>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</si>
  <si>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</si>
  <si>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</si>
  <si>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</si>
  <si>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</si>
  <si>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</si>
  <si>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</si>
  <si>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</si>
  <si>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</si>
  <si>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</si>
  <si>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</si>
  <si>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</si>
  <si>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</si>
  <si>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</si>
  <si>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</si>
  <si>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</si>
  <si>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</si>
  <si>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</si>
  <si>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</si>
  <si>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</si>
  <si>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</si>
  <si>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</si>
  <si>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</si>
  <si>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</si>
  <si>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</si>
  <si>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</si>
  <si>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</si>
  <si>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</si>
  <si>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</si>
  <si>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</si>
  <si>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</si>
  <si>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</si>
  <si>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</si>
  <si>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</si>
  <si>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</si>
  <si>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</si>
  <si>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</si>
  <si>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</si>
  <si>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</si>
  <si>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</si>
  <si>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</si>
  <si>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</si>
  <si>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</si>
  <si>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</si>
  <si>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</si>
  <si>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</si>
  <si>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</si>
  <si>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</si>
  <si>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</si>
  <si>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</si>
  <si>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</si>
  <si>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</si>
  <si>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</si>
  <si>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</si>
  <si>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</si>
  <si>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</si>
  <si>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</si>
  <si>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</si>
  <si>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</si>
  <si>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</si>
  <si>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</si>
  <si>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</si>
  <si>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</si>
  <si>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</si>
  <si>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</si>
  <si>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</si>
  <si>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</si>
  <si>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</si>
  <si>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</si>
  <si>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</si>
  <si>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</si>
  <si>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</si>
  <si>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</si>
  <si>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</si>
  <si>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</si>
  <si>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</si>
  <si>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</si>
  <si>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</si>
  <si>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</si>
  <si>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</si>
  <si>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</si>
  <si>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</si>
  <si>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</si>
  <si>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</si>
  <si>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</si>
  <si>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</si>
  <si>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</si>
  <si>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</si>
  <si>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</si>
  <si>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</si>
  <si>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</si>
  <si>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</si>
  <si>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</si>
  <si>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</si>
  <si>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</si>
  <si>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</si>
  <si>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</si>
  <si>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</si>
  <si>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</si>
  <si>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</si>
  <si>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</si>
  <si>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</si>
  <si>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</si>
  <si>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</si>
  <si>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</si>
  <si>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</si>
  <si>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</si>
  <si>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</si>
  <si>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</si>
  <si>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</si>
  <si>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</si>
  <si>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</si>
  <si>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</si>
  <si>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</si>
  <si>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</si>
  <si>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</si>
  <si>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</si>
  <si>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</si>
  <si>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</si>
  <si>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</si>
  <si>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</si>
  <si>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</si>
  <si>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</si>
  <si>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</si>
  <si>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</si>
  <si>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</si>
  <si>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</si>
  <si>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</si>
  <si>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</si>
  <si>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</si>
  <si>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</si>
  <si>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</si>
  <si>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</si>
  <si>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</si>
  <si>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</si>
  <si>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</si>
  <si>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</si>
  <si>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</si>
  <si>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</si>
  <si>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</si>
  <si>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</si>
  <si>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</si>
  <si>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</si>
  <si>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</si>
  <si>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</si>
  <si>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</si>
  <si>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</si>
  <si>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</si>
  <si>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</si>
  <si>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</si>
  <si>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</si>
  <si>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</si>
  <si>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</si>
  <si>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</si>
  <si>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</si>
  <si>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</si>
  <si>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</si>
  <si>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</si>
  <si>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</si>
  <si>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</si>
  <si>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</si>
  <si>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</si>
  <si>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</si>
  <si>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</si>
  <si>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</si>
  <si>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20250623 09:07:43</t>
  </si>
  <si>
    <t>09:07:43</t>
  </si>
  <si>
    <t>1: Needles</t>
  </si>
  <si>
    <t>09:08:12</t>
  </si>
  <si>
    <t>1/2</t>
  </si>
  <si>
    <t>11111111</t>
  </si>
  <si>
    <t>oooooooo</t>
  </si>
  <si>
    <t>on</t>
  </si>
  <si>
    <t>20250623 09:11:31</t>
  </si>
  <si>
    <t>09:11:31</t>
  </si>
  <si>
    <t>09:11:54</t>
  </si>
  <si>
    <t>2/2</t>
  </si>
  <si>
    <t>20250623 09:16:58</t>
  </si>
  <si>
    <t>09:16:58</t>
  </si>
  <si>
    <t>09:17:14</t>
  </si>
  <si>
    <t>20250623 09:21:00</t>
  </si>
  <si>
    <t>09:21:00</t>
  </si>
  <si>
    <t>09:21:26</t>
  </si>
  <si>
    <t>20250623 09:26:01</t>
  </si>
  <si>
    <t>09:26:01</t>
  </si>
  <si>
    <t>09:26:21</t>
  </si>
  <si>
    <t>0/2</t>
  </si>
  <si>
    <t>20250623 09:31:00</t>
  </si>
  <si>
    <t>09:31:00</t>
  </si>
  <si>
    <t>20250623 09:35:17</t>
  </si>
  <si>
    <t>09:35:17</t>
  </si>
  <si>
    <t>09:35:36</t>
  </si>
  <si>
    <t>20250623 09:44:58</t>
  </si>
  <si>
    <t>09:44:58</t>
  </si>
  <si>
    <t>09:45:15</t>
  </si>
  <si>
    <t>20250623 09:47:36</t>
  </si>
  <si>
    <t>09:47:36</t>
  </si>
  <si>
    <t>09:47:55</t>
  </si>
  <si>
    <t>20250623 09:50:51</t>
  </si>
  <si>
    <t>09:50:51</t>
  </si>
  <si>
    <t>09:51:08</t>
  </si>
  <si>
    <t>20250623 09:55:07</t>
  </si>
  <si>
    <t>09:55:07</t>
  </si>
  <si>
    <t>09:55:25</t>
  </si>
  <si>
    <t>20250623 09:57:12</t>
  </si>
  <si>
    <t>09:57:12</t>
  </si>
  <si>
    <t>09:57:34</t>
  </si>
  <si>
    <t>20250623 09:58:03</t>
  </si>
  <si>
    <t>09:58:03</t>
  </si>
  <si>
    <t>09:58:22</t>
  </si>
  <si>
    <t>20250623 10:01:14</t>
  </si>
  <si>
    <t>10:01:14</t>
  </si>
  <si>
    <t>10:01:34</t>
  </si>
  <si>
    <t>20250623 10:03:34</t>
  </si>
  <si>
    <t>10:03:34</t>
  </si>
  <si>
    <t>10:03:51</t>
  </si>
  <si>
    <t>20250623 10:06:42</t>
  </si>
  <si>
    <t>10:06:42</t>
  </si>
  <si>
    <t>10:06:59</t>
  </si>
  <si>
    <t>20250623 10:09:50</t>
  </si>
  <si>
    <t>10:09:50</t>
  </si>
  <si>
    <t>10:10:09</t>
  </si>
  <si>
    <t>20250623 10:12:42</t>
  </si>
  <si>
    <t>10:12:42</t>
  </si>
  <si>
    <t>10:13:03</t>
  </si>
  <si>
    <t>20250623 10:15:39</t>
  </si>
  <si>
    <t>10:15:39</t>
  </si>
  <si>
    <t>10:15:58</t>
  </si>
  <si>
    <t>20250623 10:18:10</t>
  </si>
  <si>
    <t>10:18:10</t>
  </si>
  <si>
    <t>10:18:27</t>
  </si>
  <si>
    <t>20250623 10:21:37</t>
  </si>
  <si>
    <t>10:21:37</t>
  </si>
  <si>
    <t>10:21:59</t>
  </si>
  <si>
    <t>20250623 10:24:18</t>
  </si>
  <si>
    <t>10:24:18</t>
  </si>
  <si>
    <t>10:24:43</t>
  </si>
  <si>
    <t>20250623 10:26:51</t>
  </si>
  <si>
    <t>10:26:51</t>
  </si>
  <si>
    <t>10:27:08</t>
  </si>
  <si>
    <t>20250623 10:29:06</t>
  </si>
  <si>
    <t>10:29:06</t>
  </si>
  <si>
    <t>10:29:24</t>
  </si>
  <si>
    <t>20250623 10:31:39</t>
  </si>
  <si>
    <t>10:31:39</t>
  </si>
  <si>
    <t>20250623 10:33:56</t>
  </si>
  <si>
    <t>10:33:56</t>
  </si>
  <si>
    <t>10:34:13</t>
  </si>
  <si>
    <t>20250623 10:35:58</t>
  </si>
  <si>
    <t>10:35:58</t>
  </si>
  <si>
    <t>10:36:15</t>
  </si>
  <si>
    <t>20250623 10:38:11</t>
  </si>
  <si>
    <t>10:38:11</t>
  </si>
  <si>
    <t>10:38:28</t>
  </si>
  <si>
    <t>20250623 10:40:31</t>
  </si>
  <si>
    <t>10:40:31</t>
  </si>
  <si>
    <t>10:40:48</t>
  </si>
  <si>
    <t>20250623 10:42:36</t>
  </si>
  <si>
    <t>10:42:36</t>
  </si>
  <si>
    <t>10:42:57</t>
  </si>
  <si>
    <t>20250623 10:45:29</t>
  </si>
  <si>
    <t>10:45:29</t>
  </si>
  <si>
    <t>10:45:51</t>
  </si>
  <si>
    <t>20250623 10:47:30</t>
  </si>
  <si>
    <t>10:47:30</t>
  </si>
  <si>
    <t>10:47:53</t>
  </si>
  <si>
    <t>20250623 10:49:56</t>
  </si>
  <si>
    <t>10:49:56</t>
  </si>
  <si>
    <t>10:50:14</t>
  </si>
  <si>
    <t>20250623 10:51:57</t>
  </si>
  <si>
    <t>10:51:57</t>
  </si>
  <si>
    <t>10:52:14</t>
  </si>
  <si>
    <t>20250623 10:53:34</t>
  </si>
  <si>
    <t>10:53:34</t>
  </si>
  <si>
    <t>10:53:51</t>
  </si>
  <si>
    <t>20250623 10:56:06</t>
  </si>
  <si>
    <t>10:56:06</t>
  </si>
  <si>
    <t>20250623 10:58:14</t>
  </si>
  <si>
    <t>10:58:14</t>
  </si>
  <si>
    <t>10:58:34</t>
  </si>
  <si>
    <t>20250623 11:00:20</t>
  </si>
  <si>
    <t>11:00:20</t>
  </si>
  <si>
    <t>11:00:37</t>
  </si>
  <si>
    <t>20250623 11:07:07</t>
  </si>
  <si>
    <t>11:07:07</t>
  </si>
  <si>
    <t>11:07:28</t>
  </si>
  <si>
    <t>20250623 11:09:17</t>
  </si>
  <si>
    <t>11:09:17</t>
  </si>
  <si>
    <t>11:09:45</t>
  </si>
  <si>
    <t>20250623 11:11:28</t>
  </si>
  <si>
    <t>11:11:28</t>
  </si>
  <si>
    <t>11:11:45</t>
  </si>
  <si>
    <t>20250623 11:13:50</t>
  </si>
  <si>
    <t>11:13:50</t>
  </si>
  <si>
    <t>11:14:11</t>
  </si>
  <si>
    <t>20250623 11:16:15</t>
  </si>
  <si>
    <t>11:16:15</t>
  </si>
  <si>
    <t>20250623 11:19:56</t>
  </si>
  <si>
    <t>11:19:56</t>
  </si>
  <si>
    <t>11:20:20</t>
  </si>
  <si>
    <t>20250623 11:23:06</t>
  </si>
  <si>
    <t>11:23:06</t>
  </si>
  <si>
    <t>11:23:30</t>
  </si>
  <si>
    <t>20250623 11:25:00</t>
  </si>
  <si>
    <t>11:25:00</t>
  </si>
  <si>
    <t>11:25:23</t>
  </si>
  <si>
    <t>20250623 11:26:49</t>
  </si>
  <si>
    <t>11:26:49</t>
  </si>
  <si>
    <t>11:27:11</t>
  </si>
  <si>
    <t>20250623 11:28:51</t>
  </si>
  <si>
    <t>11:28:51</t>
  </si>
  <si>
    <t>11:29:12</t>
  </si>
  <si>
    <t>20250623 11:31:44</t>
  </si>
  <si>
    <t>11:31:44</t>
  </si>
  <si>
    <t>11:32:07</t>
  </si>
  <si>
    <t>20250623 11:33:45</t>
  </si>
  <si>
    <t>11:33:45</t>
  </si>
  <si>
    <t>11:34:02</t>
  </si>
  <si>
    <t>20250623 11:36:12</t>
  </si>
  <si>
    <t>11:36:12</t>
  </si>
  <si>
    <t>11:36:35</t>
  </si>
  <si>
    <t>20250623 11:38:07</t>
  </si>
  <si>
    <t>11:38:07</t>
  </si>
  <si>
    <t>11:38:24</t>
  </si>
  <si>
    <t>20250623 11:40:21</t>
  </si>
  <si>
    <t>11:40:21</t>
  </si>
  <si>
    <t>11:40:38</t>
  </si>
  <si>
    <t>20250623 11:42:14</t>
  </si>
  <si>
    <t>11:42:14</t>
  </si>
  <si>
    <t>11:42:30</t>
  </si>
  <si>
    <t>20250623 11:44:02</t>
  </si>
  <si>
    <t>11:44:02</t>
  </si>
  <si>
    <t>11:44:19</t>
  </si>
  <si>
    <t>20250623 11:46:59</t>
  </si>
  <si>
    <t>11:46:59</t>
  </si>
  <si>
    <t>11:47:30</t>
  </si>
  <si>
    <t>20250623 11:48:52</t>
  </si>
  <si>
    <t>11:48:52</t>
  </si>
  <si>
    <t>20250623 11:50:47</t>
  </si>
  <si>
    <t>11:50:47</t>
  </si>
  <si>
    <t>11:51:04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</si>
</sst>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74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1750694863.1</v>
      </c>
      <c r="C17">
        <v>0</v>
      </c>
      <c r="D17" t="s">
        <v>351</v>
      </c>
      <c r="E17" t="s">
        <v>352</v>
      </c>
      <c r="F17">
        <v>15</v>
      </c>
      <c r="G17">
        <v>1750694855.349999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403.9332931754252</v>
      </c>
      <c r="AI17">
        <v>398.8927818181818</v>
      </c>
      <c r="AJ17">
        <v>0.09355587522212432</v>
      </c>
      <c r="AK17">
        <v>66.98364948659982</v>
      </c>
      <c r="AL17">
        <f>(AN17 - AM17 + BM17*1E3/(8.314*(BO17+273.15)) * AP17/BL17 * AO17) * BL17/(100*AZ17) * 1000/(1000 - AN17)</f>
        <v>0</v>
      </c>
      <c r="AM17">
        <v>10.79846301897119</v>
      </c>
      <c r="AN17">
        <v>12.98114181818182</v>
      </c>
      <c r="AO17">
        <v>0.0001801830619946767</v>
      </c>
      <c r="AP17">
        <v>79.04115284873392</v>
      </c>
      <c r="AQ17">
        <v>122</v>
      </c>
      <c r="AR17">
        <v>15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1750694855.349999</v>
      </c>
      <c r="BF17">
        <v>392.7577666666667</v>
      </c>
      <c r="BG17">
        <v>398.9947</v>
      </c>
      <c r="BH17">
        <v>12.85915666666667</v>
      </c>
      <c r="BI17">
        <v>10.79501666666667</v>
      </c>
      <c r="BJ17">
        <v>390.2277666666667</v>
      </c>
      <c r="BK17">
        <v>12.88715666666667</v>
      </c>
      <c r="BL17">
        <v>800.0018</v>
      </c>
      <c r="BM17">
        <v>101.4121666666666</v>
      </c>
      <c r="BN17">
        <v>0.09977706000000001</v>
      </c>
      <c r="BO17">
        <v>20.47193666666667</v>
      </c>
      <c r="BP17">
        <v>18.21605666666666</v>
      </c>
      <c r="BQ17">
        <v>999.9000000000002</v>
      </c>
      <c r="BR17">
        <v>0</v>
      </c>
      <c r="BS17">
        <v>0</v>
      </c>
      <c r="BT17">
        <v>10011.58366666667</v>
      </c>
      <c r="BU17">
        <v>0</v>
      </c>
      <c r="BV17">
        <v>0.00152894</v>
      </c>
      <c r="BW17">
        <v>-6.337758333333332</v>
      </c>
      <c r="BX17">
        <v>397.8170666666667</v>
      </c>
      <c r="BY17">
        <v>403.3487999999999</v>
      </c>
      <c r="BZ17">
        <v>2.176267333333334</v>
      </c>
      <c r="CA17">
        <v>398.9947</v>
      </c>
      <c r="CB17">
        <v>10.79501666666667</v>
      </c>
      <c r="CC17">
        <v>1.315445666666667</v>
      </c>
      <c r="CD17">
        <v>1.094745333333333</v>
      </c>
      <c r="CE17">
        <v>10.97649666666667</v>
      </c>
      <c r="CF17">
        <v>8.242329</v>
      </c>
      <c r="CG17">
        <v>1000.004733333333</v>
      </c>
      <c r="CH17">
        <v>0.9600168000000001</v>
      </c>
      <c r="CI17">
        <v>0.03998315</v>
      </c>
      <c r="CJ17">
        <v>0</v>
      </c>
      <c r="CK17">
        <v>1.714333333333333</v>
      </c>
      <c r="CL17">
        <v>0</v>
      </c>
      <c r="CM17">
        <v>5710.951666666667</v>
      </c>
      <c r="CN17">
        <v>7947.011999999999</v>
      </c>
      <c r="CO17">
        <v>38.53926666666666</v>
      </c>
      <c r="CP17">
        <v>40.2143</v>
      </c>
      <c r="CQ17">
        <v>39.63946666666665</v>
      </c>
      <c r="CR17">
        <v>40.81199999999998</v>
      </c>
      <c r="CS17">
        <v>38.0977</v>
      </c>
      <c r="CT17">
        <v>960.0236666666667</v>
      </c>
      <c r="CU17">
        <v>39.98133333333333</v>
      </c>
      <c r="CV17">
        <v>0</v>
      </c>
      <c r="CW17">
        <v>1750694879.6</v>
      </c>
      <c r="CX17">
        <v>0</v>
      </c>
      <c r="CY17">
        <v>1750694892.1</v>
      </c>
      <c r="CZ17" t="s">
        <v>354</v>
      </c>
      <c r="DA17">
        <v>1750694892.1</v>
      </c>
      <c r="DB17">
        <v>1750694887.1</v>
      </c>
      <c r="DC17">
        <v>1</v>
      </c>
      <c r="DD17">
        <v>0.098</v>
      </c>
      <c r="DE17">
        <v>-0.065</v>
      </c>
      <c r="DF17">
        <v>2.53</v>
      </c>
      <c r="DG17">
        <v>-0.028</v>
      </c>
      <c r="DH17">
        <v>381</v>
      </c>
      <c r="DI17">
        <v>11</v>
      </c>
      <c r="DJ17">
        <v>0.3</v>
      </c>
      <c r="DK17">
        <v>0.03</v>
      </c>
      <c r="DL17">
        <v>-6.1443595</v>
      </c>
      <c r="DM17">
        <v>-1.704541463414628</v>
      </c>
      <c r="DN17">
        <v>0.442171801198075</v>
      </c>
      <c r="DO17">
        <v>0</v>
      </c>
      <c r="DP17">
        <v>2.1715045</v>
      </c>
      <c r="DQ17">
        <v>0.08190551594745993</v>
      </c>
      <c r="DR17">
        <v>0.009514062210748929</v>
      </c>
      <c r="DS17">
        <v>1</v>
      </c>
      <c r="DT17">
        <v>1</v>
      </c>
      <c r="DU17">
        <v>2</v>
      </c>
      <c r="DV17" t="s">
        <v>355</v>
      </c>
      <c r="DW17">
        <v>3.44597</v>
      </c>
      <c r="DX17">
        <v>2.78057</v>
      </c>
      <c r="DY17">
        <v>0.09669179999999999</v>
      </c>
      <c r="DZ17">
        <v>0.0981664</v>
      </c>
      <c r="EA17">
        <v>0.077635</v>
      </c>
      <c r="EB17">
        <v>0.0675467</v>
      </c>
      <c r="EC17">
        <v>27451.7</v>
      </c>
      <c r="ED17">
        <v>31172.5</v>
      </c>
      <c r="EE17">
        <v>29500.1</v>
      </c>
      <c r="EF17">
        <v>35131.9</v>
      </c>
      <c r="EG17">
        <v>31459.8</v>
      </c>
      <c r="EH17">
        <v>40678.8</v>
      </c>
      <c r="EI17">
        <v>36306.4</v>
      </c>
      <c r="EJ17">
        <v>46522</v>
      </c>
      <c r="EK17">
        <v>2.41828</v>
      </c>
      <c r="EL17">
        <v>2.39893</v>
      </c>
      <c r="EM17">
        <v>0.00320375</v>
      </c>
      <c r="EN17">
        <v>0</v>
      </c>
      <c r="EO17">
        <v>18.2578</v>
      </c>
      <c r="EP17">
        <v>999.9</v>
      </c>
      <c r="EQ17">
        <v>74.3</v>
      </c>
      <c r="ER17">
        <v>18.2</v>
      </c>
      <c r="ES17">
        <v>15.3662</v>
      </c>
      <c r="ET17">
        <v>60.8482</v>
      </c>
      <c r="EU17">
        <v>26.0657</v>
      </c>
      <c r="EV17">
        <v>2</v>
      </c>
      <c r="EW17">
        <v>-0.666446</v>
      </c>
      <c r="EX17">
        <v>0</v>
      </c>
      <c r="EY17">
        <v>20.2949</v>
      </c>
      <c r="EZ17">
        <v>5.214</v>
      </c>
      <c r="FA17">
        <v>11.968</v>
      </c>
      <c r="FB17">
        <v>4.9924</v>
      </c>
      <c r="FC17">
        <v>3.27137</v>
      </c>
      <c r="FD17">
        <v>2624.3</v>
      </c>
      <c r="FE17">
        <v>9999</v>
      </c>
      <c r="FF17">
        <v>9999</v>
      </c>
      <c r="FG17">
        <v>999.9</v>
      </c>
      <c r="FH17">
        <v>4.97248</v>
      </c>
      <c r="FI17">
        <v>1.86203</v>
      </c>
      <c r="FJ17">
        <v>1.86364</v>
      </c>
      <c r="FK17">
        <v>1.86203</v>
      </c>
      <c r="FL17">
        <v>1.86218</v>
      </c>
      <c r="FM17">
        <v>1.86279</v>
      </c>
      <c r="FN17">
        <v>1.85928</v>
      </c>
      <c r="FO17">
        <v>1.86217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2.53</v>
      </c>
      <c r="GD17">
        <v>-0.028</v>
      </c>
      <c r="GE17">
        <v>2.706943477195934</v>
      </c>
      <c r="GF17">
        <v>-0.001033730503750798</v>
      </c>
      <c r="GG17">
        <v>9.120241388950126E-07</v>
      </c>
      <c r="GH17">
        <v>-2.246115299815222E-10</v>
      </c>
      <c r="GI17">
        <v>0.01143117005029766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1220.1</v>
      </c>
      <c r="GR17">
        <v>1220</v>
      </c>
      <c r="GS17">
        <v>0.841064</v>
      </c>
      <c r="GT17">
        <v>2.34253</v>
      </c>
      <c r="GU17">
        <v>2.34863</v>
      </c>
      <c r="GV17">
        <v>2.8064</v>
      </c>
      <c r="GW17">
        <v>2.39868</v>
      </c>
      <c r="GX17">
        <v>2.22412</v>
      </c>
      <c r="GY17">
        <v>24.1038</v>
      </c>
      <c r="GZ17">
        <v>14.3772</v>
      </c>
      <c r="HA17">
        <v>18</v>
      </c>
      <c r="HB17">
        <v>656.789</v>
      </c>
      <c r="HC17">
        <v>703.89</v>
      </c>
      <c r="HD17">
        <v>19.1836</v>
      </c>
      <c r="HE17">
        <v>18.2928</v>
      </c>
      <c r="HF17">
        <v>30.0002</v>
      </c>
      <c r="HG17">
        <v>18.1934</v>
      </c>
      <c r="HH17">
        <v>18.1503</v>
      </c>
      <c r="HI17">
        <v>16.9043</v>
      </c>
      <c r="HJ17">
        <v>32.9677</v>
      </c>
      <c r="HK17">
        <v>98.12609999999999</v>
      </c>
      <c r="HL17">
        <v>-999.9</v>
      </c>
      <c r="HM17">
        <v>405</v>
      </c>
      <c r="HN17">
        <v>10.9221</v>
      </c>
      <c r="HO17">
        <v>101.274</v>
      </c>
      <c r="HP17">
        <v>101.564</v>
      </c>
    </row>
    <row r="18" spans="1:224">
      <c r="A18">
        <v>2</v>
      </c>
      <c r="B18">
        <v>1750695091.6</v>
      </c>
      <c r="C18">
        <v>228.5</v>
      </c>
      <c r="D18" t="s">
        <v>359</v>
      </c>
      <c r="E18" t="s">
        <v>360</v>
      </c>
      <c r="F18">
        <v>15</v>
      </c>
      <c r="G18">
        <v>1750695083.849999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407.9895718788956</v>
      </c>
      <c r="AI18">
        <v>400.1945636363637</v>
      </c>
      <c r="AJ18">
        <v>-0.003793414375452871</v>
      </c>
      <c r="AK18">
        <v>66.97983997198173</v>
      </c>
      <c r="AL18">
        <f>(AN18 - AM18 + BM18*1E3/(8.314*(BO18+273.15)) * AP18/BL18 * AO18) * BL18/(100*AZ18) * 1000/(1000 - AN18)</f>
        <v>0</v>
      </c>
      <c r="AM18">
        <v>11.55646287347795</v>
      </c>
      <c r="AN18">
        <v>13.33801272727273</v>
      </c>
      <c r="AO18">
        <v>0.0005744339007688891</v>
      </c>
      <c r="AP18">
        <v>79.04713761536011</v>
      </c>
      <c r="AQ18">
        <v>222</v>
      </c>
      <c r="AR18">
        <v>28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1750695083.849999</v>
      </c>
      <c r="BF18">
        <v>394.8108333333334</v>
      </c>
      <c r="BG18">
        <v>403.241</v>
      </c>
      <c r="BH18">
        <v>13.3122</v>
      </c>
      <c r="BI18">
        <v>11.53626333333333</v>
      </c>
      <c r="BJ18">
        <v>392.2288333333334</v>
      </c>
      <c r="BK18">
        <v>13.28249666666667</v>
      </c>
      <c r="BL18">
        <v>800.0027000000002</v>
      </c>
      <c r="BM18">
        <v>101.4171666666667</v>
      </c>
      <c r="BN18">
        <v>0.1000204166666667</v>
      </c>
      <c r="BO18">
        <v>20.88694333333334</v>
      </c>
      <c r="BP18">
        <v>20.28255333333333</v>
      </c>
      <c r="BQ18">
        <v>999.9000000000002</v>
      </c>
      <c r="BR18">
        <v>0</v>
      </c>
      <c r="BS18">
        <v>0</v>
      </c>
      <c r="BT18">
        <v>10002.39633333333</v>
      </c>
      <c r="BU18">
        <v>0</v>
      </c>
      <c r="BV18">
        <v>0.00152894</v>
      </c>
      <c r="BW18">
        <v>-8.486371333333334</v>
      </c>
      <c r="BX18">
        <v>400.0806</v>
      </c>
      <c r="BY18">
        <v>407.9471333333333</v>
      </c>
      <c r="BZ18">
        <v>1.775936</v>
      </c>
      <c r="CA18">
        <v>403.241</v>
      </c>
      <c r="CB18">
        <v>11.53626333333333</v>
      </c>
      <c r="CC18">
        <v>1.350086333333333</v>
      </c>
      <c r="CD18">
        <v>1.169975333333333</v>
      </c>
      <c r="CE18">
        <v>11.36831666666667</v>
      </c>
      <c r="CF18">
        <v>9.224878666666665</v>
      </c>
      <c r="CG18">
        <v>999.9928333333334</v>
      </c>
      <c r="CH18">
        <v>0.9600139333333337</v>
      </c>
      <c r="CI18">
        <v>0.03998565000000001</v>
      </c>
      <c r="CJ18">
        <v>0</v>
      </c>
      <c r="CK18">
        <v>3.067166666666666</v>
      </c>
      <c r="CL18">
        <v>0</v>
      </c>
      <c r="CM18">
        <v>13367.41</v>
      </c>
      <c r="CN18">
        <v>7946.909000000001</v>
      </c>
      <c r="CO18">
        <v>39.52479999999999</v>
      </c>
      <c r="CP18">
        <v>41.24153333333333</v>
      </c>
      <c r="CQ18">
        <v>40.6166</v>
      </c>
      <c r="CR18">
        <v>41.82039999999999</v>
      </c>
      <c r="CS18">
        <v>39.04546666666666</v>
      </c>
      <c r="CT18">
        <v>960.0070000000001</v>
      </c>
      <c r="CU18">
        <v>39.986</v>
      </c>
      <c r="CV18">
        <v>0</v>
      </c>
      <c r="CW18">
        <v>1750695108.2</v>
      </c>
      <c r="CX18">
        <v>0</v>
      </c>
      <c r="CY18">
        <v>1750695114.6</v>
      </c>
      <c r="CZ18" t="s">
        <v>361</v>
      </c>
      <c r="DA18">
        <v>1750695114.6</v>
      </c>
      <c r="DB18">
        <v>1750694887.1</v>
      </c>
      <c r="DC18">
        <v>2</v>
      </c>
      <c r="DD18">
        <v>0.059</v>
      </c>
      <c r="DE18">
        <v>-0.065</v>
      </c>
      <c r="DF18">
        <v>2.582</v>
      </c>
      <c r="DG18">
        <v>-0.028</v>
      </c>
      <c r="DH18">
        <v>400</v>
      </c>
      <c r="DI18">
        <v>11</v>
      </c>
      <c r="DJ18">
        <v>0.13</v>
      </c>
      <c r="DK18">
        <v>0.03</v>
      </c>
      <c r="DL18">
        <v>-8.507295500000001</v>
      </c>
      <c r="DM18">
        <v>-0.08116705440900063</v>
      </c>
      <c r="DN18">
        <v>0.1496776245460556</v>
      </c>
      <c r="DO18">
        <v>1</v>
      </c>
      <c r="DP18">
        <v>1.782322</v>
      </c>
      <c r="DQ18">
        <v>-0.06923482176360546</v>
      </c>
      <c r="DR18">
        <v>0.01058078309956309</v>
      </c>
      <c r="DS18">
        <v>1</v>
      </c>
      <c r="DT18">
        <v>2</v>
      </c>
      <c r="DU18">
        <v>2</v>
      </c>
      <c r="DV18" t="s">
        <v>362</v>
      </c>
      <c r="DW18">
        <v>3.44636</v>
      </c>
      <c r="DX18">
        <v>2.78085</v>
      </c>
      <c r="DY18">
        <v>0.0968415</v>
      </c>
      <c r="DZ18">
        <v>0.0988279</v>
      </c>
      <c r="EA18">
        <v>0.0794551</v>
      </c>
      <c r="EB18">
        <v>0.07108689999999999</v>
      </c>
      <c r="EC18">
        <v>27437.4</v>
      </c>
      <c r="ED18">
        <v>31137.8</v>
      </c>
      <c r="EE18">
        <v>29490.2</v>
      </c>
      <c r="EF18">
        <v>35119.5</v>
      </c>
      <c r="EG18">
        <v>31387.2</v>
      </c>
      <c r="EH18">
        <v>40509.4</v>
      </c>
      <c r="EI18">
        <v>36295.4</v>
      </c>
      <c r="EJ18">
        <v>46505.5</v>
      </c>
      <c r="EK18">
        <v>2.23415</v>
      </c>
      <c r="EL18">
        <v>2.39193</v>
      </c>
      <c r="EM18">
        <v>0.0800565</v>
      </c>
      <c r="EN18">
        <v>0</v>
      </c>
      <c r="EO18">
        <v>18.9843</v>
      </c>
      <c r="EP18">
        <v>999.9</v>
      </c>
      <c r="EQ18">
        <v>74</v>
      </c>
      <c r="ER18">
        <v>18.5</v>
      </c>
      <c r="ES18">
        <v>15.5947</v>
      </c>
      <c r="ET18">
        <v>61.2082</v>
      </c>
      <c r="EU18">
        <v>26.0577</v>
      </c>
      <c r="EV18">
        <v>2</v>
      </c>
      <c r="EW18">
        <v>-0.647269</v>
      </c>
      <c r="EX18">
        <v>0</v>
      </c>
      <c r="EY18">
        <v>20.2946</v>
      </c>
      <c r="EZ18">
        <v>5.21474</v>
      </c>
      <c r="FA18">
        <v>11.968</v>
      </c>
      <c r="FB18">
        <v>4.99245</v>
      </c>
      <c r="FC18">
        <v>3.27198</v>
      </c>
      <c r="FD18">
        <v>2631.7</v>
      </c>
      <c r="FE18">
        <v>9999</v>
      </c>
      <c r="FF18">
        <v>9999</v>
      </c>
      <c r="FG18">
        <v>999.9</v>
      </c>
      <c r="FH18">
        <v>4.97247</v>
      </c>
      <c r="FI18">
        <v>1.86203</v>
      </c>
      <c r="FJ18">
        <v>1.86371</v>
      </c>
      <c r="FK18">
        <v>1.86206</v>
      </c>
      <c r="FL18">
        <v>1.86218</v>
      </c>
      <c r="FM18">
        <v>1.86279</v>
      </c>
      <c r="FN18">
        <v>1.85928</v>
      </c>
      <c r="FO18">
        <v>1.86218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2.582</v>
      </c>
      <c r="GD18">
        <v>0.0304</v>
      </c>
      <c r="GE18">
        <v>2.804487163320782</v>
      </c>
      <c r="GF18">
        <v>-0.001033730503750798</v>
      </c>
      <c r="GG18">
        <v>9.120241388950126E-07</v>
      </c>
      <c r="GH18">
        <v>-2.246115299815222E-10</v>
      </c>
      <c r="GI18">
        <v>-0.053587327942187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3.3</v>
      </c>
      <c r="GR18">
        <v>3.4</v>
      </c>
      <c r="GS18">
        <v>1.13281</v>
      </c>
      <c r="GT18">
        <v>2.33276</v>
      </c>
      <c r="GU18">
        <v>2.34741</v>
      </c>
      <c r="GV18">
        <v>2.80273</v>
      </c>
      <c r="GW18">
        <v>2.39868</v>
      </c>
      <c r="GX18">
        <v>2.24854</v>
      </c>
      <c r="GY18">
        <v>24.4902</v>
      </c>
      <c r="GZ18">
        <v>14.3597</v>
      </c>
      <c r="HA18">
        <v>18</v>
      </c>
      <c r="HB18">
        <v>538.861</v>
      </c>
      <c r="HC18">
        <v>700.846</v>
      </c>
      <c r="HD18">
        <v>19.5306</v>
      </c>
      <c r="HE18">
        <v>18.5217</v>
      </c>
      <c r="HF18">
        <v>30.0007</v>
      </c>
      <c r="HG18">
        <v>18.3889</v>
      </c>
      <c r="HH18">
        <v>18.3395</v>
      </c>
      <c r="HI18">
        <v>22.7299</v>
      </c>
      <c r="HJ18">
        <v>29.5958</v>
      </c>
      <c r="HK18">
        <v>96.6416</v>
      </c>
      <c r="HL18">
        <v>-999.9</v>
      </c>
      <c r="HM18">
        <v>405</v>
      </c>
      <c r="HN18">
        <v>11.6123</v>
      </c>
      <c r="HO18">
        <v>101.242</v>
      </c>
      <c r="HP18">
        <v>101.528</v>
      </c>
    </row>
    <row r="19" spans="1:224">
      <c r="A19">
        <v>3</v>
      </c>
      <c r="B19">
        <v>1750695418.1</v>
      </c>
      <c r="C19">
        <v>555</v>
      </c>
      <c r="D19" t="s">
        <v>363</v>
      </c>
      <c r="E19" t="s">
        <v>364</v>
      </c>
      <c r="F19">
        <v>15</v>
      </c>
      <c r="G19">
        <v>1750695410.349999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409.8963954530448</v>
      </c>
      <c r="AI19">
        <v>404.7462909090909</v>
      </c>
      <c r="AJ19">
        <v>0.001077331164857733</v>
      </c>
      <c r="AK19">
        <v>66.9784195874056</v>
      </c>
      <c r="AL19">
        <f>(AN19 - AM19 + BM19*1E3/(8.314*(BO19+273.15)) * AP19/BL19 * AO19) * BL19/(100*AZ19) * 1000/(1000 - AN19)</f>
        <v>0</v>
      </c>
      <c r="AM19">
        <v>12.67147678653777</v>
      </c>
      <c r="AN19">
        <v>13.93396787878787</v>
      </c>
      <c r="AO19">
        <v>0.0001199548942447874</v>
      </c>
      <c r="AP19">
        <v>79.05059160564824</v>
      </c>
      <c r="AQ19">
        <v>393</v>
      </c>
      <c r="AR19">
        <v>49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1750695410.349999</v>
      </c>
      <c r="BF19">
        <v>399.0036666666667</v>
      </c>
      <c r="BG19">
        <v>404.708</v>
      </c>
      <c r="BH19">
        <v>13.92272333333334</v>
      </c>
      <c r="BI19">
        <v>12.66462333333333</v>
      </c>
      <c r="BJ19">
        <v>396.4656666666667</v>
      </c>
      <c r="BK19">
        <v>13.87634</v>
      </c>
      <c r="BL19">
        <v>799.9866666666666</v>
      </c>
      <c r="BM19">
        <v>101.4229666666667</v>
      </c>
      <c r="BN19">
        <v>0.09972048999999999</v>
      </c>
      <c r="BO19">
        <v>21.58854666666667</v>
      </c>
      <c r="BP19">
        <v>21.03410000000001</v>
      </c>
      <c r="BQ19">
        <v>999.9000000000002</v>
      </c>
      <c r="BR19">
        <v>0</v>
      </c>
      <c r="BS19">
        <v>0</v>
      </c>
      <c r="BT19">
        <v>10018.81866666667</v>
      </c>
      <c r="BU19">
        <v>0</v>
      </c>
      <c r="BV19">
        <v>0.00152894</v>
      </c>
      <c r="BW19">
        <v>-5.659477333333332</v>
      </c>
      <c r="BX19">
        <v>404.6827333333332</v>
      </c>
      <c r="BY19">
        <v>409.8992333333334</v>
      </c>
      <c r="BZ19">
        <v>1.258103</v>
      </c>
      <c r="CA19">
        <v>404.708</v>
      </c>
      <c r="CB19">
        <v>12.66462333333333</v>
      </c>
      <c r="CC19">
        <v>1.412082</v>
      </c>
      <c r="CD19">
        <v>1.284483</v>
      </c>
      <c r="CE19">
        <v>12.04800333333333</v>
      </c>
      <c r="CF19">
        <v>10.61849666666667</v>
      </c>
      <c r="CG19">
        <v>1000.015666666667</v>
      </c>
      <c r="CH19">
        <v>0.9600162000000002</v>
      </c>
      <c r="CI19">
        <v>0.03998412666666667</v>
      </c>
      <c r="CJ19">
        <v>0</v>
      </c>
      <c r="CK19">
        <v>-1.631166666666667</v>
      </c>
      <c r="CL19">
        <v>0</v>
      </c>
      <c r="CM19">
        <v>6508.473333333333</v>
      </c>
      <c r="CN19">
        <v>7947.094666666666</v>
      </c>
      <c r="CO19">
        <v>37.81643333333333</v>
      </c>
      <c r="CP19">
        <v>40.67476666666666</v>
      </c>
      <c r="CQ19">
        <v>39.20383333333334</v>
      </c>
      <c r="CR19">
        <v>40.05393333333333</v>
      </c>
      <c r="CS19">
        <v>37.56216666666667</v>
      </c>
      <c r="CT19">
        <v>960.0319999999998</v>
      </c>
      <c r="CU19">
        <v>39.98466666666666</v>
      </c>
      <c r="CV19">
        <v>0</v>
      </c>
      <c r="CW19">
        <v>1750695434.6</v>
      </c>
      <c r="CX19">
        <v>0</v>
      </c>
      <c r="CY19">
        <v>1750695434.1</v>
      </c>
      <c r="CZ19" t="s">
        <v>365</v>
      </c>
      <c r="DA19">
        <v>1750695434.1</v>
      </c>
      <c r="DB19">
        <v>1750694887.1</v>
      </c>
      <c r="DC19">
        <v>3</v>
      </c>
      <c r="DD19">
        <v>-0.043</v>
      </c>
      <c r="DE19">
        <v>-0.065</v>
      </c>
      <c r="DF19">
        <v>2.538</v>
      </c>
      <c r="DG19">
        <v>-0.028</v>
      </c>
      <c r="DH19">
        <v>404</v>
      </c>
      <c r="DI19">
        <v>11</v>
      </c>
      <c r="DJ19">
        <v>0.33</v>
      </c>
      <c r="DK19">
        <v>0.03</v>
      </c>
      <c r="DL19">
        <v>-5.654314390243902</v>
      </c>
      <c r="DM19">
        <v>0.05903602787456079</v>
      </c>
      <c r="DN19">
        <v>0.04759883125480419</v>
      </c>
      <c r="DO19">
        <v>1</v>
      </c>
      <c r="DP19">
        <v>1.251460731707317</v>
      </c>
      <c r="DQ19">
        <v>0.109520905923341</v>
      </c>
      <c r="DR19">
        <v>0.01216193589978413</v>
      </c>
      <c r="DS19">
        <v>0</v>
      </c>
      <c r="DT19">
        <v>1</v>
      </c>
      <c r="DU19">
        <v>2</v>
      </c>
      <c r="DV19" t="s">
        <v>355</v>
      </c>
      <c r="DW19">
        <v>3.4471</v>
      </c>
      <c r="DX19">
        <v>2.78099</v>
      </c>
      <c r="DY19">
        <v>0.09747699999999999</v>
      </c>
      <c r="DZ19">
        <v>0.0989463</v>
      </c>
      <c r="EA19">
        <v>0.0818923</v>
      </c>
      <c r="EB19">
        <v>0.0759884</v>
      </c>
      <c r="EC19">
        <v>27390.6</v>
      </c>
      <c r="ED19">
        <v>31105.8</v>
      </c>
      <c r="EE19">
        <v>29462.8</v>
      </c>
      <c r="EF19">
        <v>35091.1</v>
      </c>
      <c r="EG19">
        <v>31274.1</v>
      </c>
      <c r="EH19">
        <v>40262.2</v>
      </c>
      <c r="EI19">
        <v>36261.5</v>
      </c>
      <c r="EJ19">
        <v>46467.1</v>
      </c>
      <c r="EK19">
        <v>1.87235</v>
      </c>
      <c r="EL19">
        <v>2.3768</v>
      </c>
      <c r="EM19">
        <v>0.07484109999999999</v>
      </c>
      <c r="EN19">
        <v>0</v>
      </c>
      <c r="EO19">
        <v>19.8312</v>
      </c>
      <c r="EP19">
        <v>999.9</v>
      </c>
      <c r="EQ19">
        <v>73.3</v>
      </c>
      <c r="ER19">
        <v>19.1</v>
      </c>
      <c r="ES19">
        <v>16.0365</v>
      </c>
      <c r="ET19">
        <v>61.4782</v>
      </c>
      <c r="EU19">
        <v>25.9575</v>
      </c>
      <c r="EV19">
        <v>2</v>
      </c>
      <c r="EW19">
        <v>-0.598356</v>
      </c>
      <c r="EX19">
        <v>0</v>
      </c>
      <c r="EY19">
        <v>20.2946</v>
      </c>
      <c r="EZ19">
        <v>5.21489</v>
      </c>
      <c r="FA19">
        <v>11.968</v>
      </c>
      <c r="FB19">
        <v>4.99235</v>
      </c>
      <c r="FC19">
        <v>3.27195</v>
      </c>
      <c r="FD19">
        <v>2642.2</v>
      </c>
      <c r="FE19">
        <v>9999</v>
      </c>
      <c r="FF19">
        <v>9999</v>
      </c>
      <c r="FG19">
        <v>999.9</v>
      </c>
      <c r="FH19">
        <v>4.97254</v>
      </c>
      <c r="FI19">
        <v>1.86213</v>
      </c>
      <c r="FJ19">
        <v>1.86374</v>
      </c>
      <c r="FK19">
        <v>1.86218</v>
      </c>
      <c r="FL19">
        <v>1.86232</v>
      </c>
      <c r="FM19">
        <v>1.86295</v>
      </c>
      <c r="FN19">
        <v>1.85943</v>
      </c>
      <c r="FO19">
        <v>1.86218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2.538</v>
      </c>
      <c r="GD19">
        <v>0.0467</v>
      </c>
      <c r="GE19">
        <v>2.863329718277958</v>
      </c>
      <c r="GF19">
        <v>-0.001033730503750798</v>
      </c>
      <c r="GG19">
        <v>9.120241388950126E-07</v>
      </c>
      <c r="GH19">
        <v>-2.246115299815222E-10</v>
      </c>
      <c r="GI19">
        <v>-0.053587327942187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5.1</v>
      </c>
      <c r="GR19">
        <v>8.800000000000001</v>
      </c>
      <c r="GS19">
        <v>1.23169</v>
      </c>
      <c r="GT19">
        <v>2.34009</v>
      </c>
      <c r="GU19">
        <v>2.34863</v>
      </c>
      <c r="GV19">
        <v>2.79907</v>
      </c>
      <c r="GW19">
        <v>2.39868</v>
      </c>
      <c r="GX19">
        <v>2.2522</v>
      </c>
      <c r="GY19">
        <v>25.1839</v>
      </c>
      <c r="GZ19">
        <v>14.3072</v>
      </c>
      <c r="HA19">
        <v>18</v>
      </c>
      <c r="HB19">
        <v>359.075</v>
      </c>
      <c r="HC19">
        <v>697.252</v>
      </c>
      <c r="HD19">
        <v>20.1825</v>
      </c>
      <c r="HE19">
        <v>19.2045</v>
      </c>
      <c r="HF19">
        <v>30.0008</v>
      </c>
      <c r="HG19">
        <v>19.0246</v>
      </c>
      <c r="HH19">
        <v>18.9528</v>
      </c>
      <c r="HI19">
        <v>24.6955</v>
      </c>
      <c r="HJ19">
        <v>25.5984</v>
      </c>
      <c r="HK19">
        <v>95.9002</v>
      </c>
      <c r="HL19">
        <v>-999.9</v>
      </c>
      <c r="HM19">
        <v>405</v>
      </c>
      <c r="HN19">
        <v>12.7426</v>
      </c>
      <c r="HO19">
        <v>101.148</v>
      </c>
      <c r="HP19">
        <v>101.445</v>
      </c>
    </row>
    <row r="20" spans="1:224">
      <c r="A20">
        <v>4</v>
      </c>
      <c r="B20">
        <v>1750695660.6</v>
      </c>
      <c r="C20">
        <v>797.5</v>
      </c>
      <c r="D20" t="s">
        <v>366</v>
      </c>
      <c r="E20" t="s">
        <v>367</v>
      </c>
      <c r="F20">
        <v>15</v>
      </c>
      <c r="G20">
        <v>1750695652.849999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409.0685504984768</v>
      </c>
      <c r="AI20">
        <v>403.3158727272726</v>
      </c>
      <c r="AJ20">
        <v>0.0005902145880866336</v>
      </c>
      <c r="AK20">
        <v>66.97850998872359</v>
      </c>
      <c r="AL20">
        <f>(AN20 - AM20 + BM20*1E3/(8.314*(BO20+273.15)) * AP20/BL20 * AO20) * BL20/(100*AZ20) * 1000/(1000 - AN20)</f>
        <v>0</v>
      </c>
      <c r="AM20">
        <v>10.27639927403546</v>
      </c>
      <c r="AN20">
        <v>14.18040727272727</v>
      </c>
      <c r="AO20">
        <v>0.001512963888684489</v>
      </c>
      <c r="AP20">
        <v>79.05168162294959</v>
      </c>
      <c r="AQ20">
        <v>14</v>
      </c>
      <c r="AR20">
        <v>2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1750695652.849999</v>
      </c>
      <c r="BF20">
        <v>397.5667333333334</v>
      </c>
      <c r="BG20">
        <v>404.8293333333333</v>
      </c>
      <c r="BH20">
        <v>14.03968666666667</v>
      </c>
      <c r="BI20">
        <v>10.20239</v>
      </c>
      <c r="BJ20">
        <v>395.0027333333334</v>
      </c>
      <c r="BK20">
        <v>14.08468666666667</v>
      </c>
      <c r="BL20">
        <v>800.0070000000001</v>
      </c>
      <c r="BM20">
        <v>101.4139666666667</v>
      </c>
      <c r="BN20">
        <v>0.09984622333333333</v>
      </c>
      <c r="BO20">
        <v>21.97917666666666</v>
      </c>
      <c r="BP20">
        <v>21.54632333333333</v>
      </c>
      <c r="BQ20">
        <v>999.9000000000002</v>
      </c>
      <c r="BR20">
        <v>0</v>
      </c>
      <c r="BS20">
        <v>0</v>
      </c>
      <c r="BT20">
        <v>10012.89133333333</v>
      </c>
      <c r="BU20">
        <v>0</v>
      </c>
      <c r="BV20">
        <v>0.00152894</v>
      </c>
      <c r="BW20">
        <v>-7.285946333333333</v>
      </c>
      <c r="BX20">
        <v>403.2441</v>
      </c>
      <c r="BY20">
        <v>409.0020333333333</v>
      </c>
      <c r="BZ20">
        <v>3.934756333333333</v>
      </c>
      <c r="CA20">
        <v>404.8293333333333</v>
      </c>
      <c r="CB20">
        <v>10.20239</v>
      </c>
      <c r="CC20">
        <v>1.433703333333333</v>
      </c>
      <c r="CD20">
        <v>1.034663666666667</v>
      </c>
      <c r="CE20">
        <v>12.27884333333333</v>
      </c>
      <c r="CF20">
        <v>7.413608000000001</v>
      </c>
      <c r="CG20">
        <v>1000.017</v>
      </c>
      <c r="CH20">
        <v>0.960013</v>
      </c>
      <c r="CI20">
        <v>0.03998680000000002</v>
      </c>
      <c r="CJ20">
        <v>0</v>
      </c>
      <c r="CK20">
        <v>1.106666666666667</v>
      </c>
      <c r="CL20">
        <v>0</v>
      </c>
      <c r="CM20">
        <v>8829.522999999999</v>
      </c>
      <c r="CN20">
        <v>7947.101666666666</v>
      </c>
      <c r="CO20">
        <v>37.47893333333333</v>
      </c>
      <c r="CP20">
        <v>39.7164</v>
      </c>
      <c r="CQ20">
        <v>38.91646666666666</v>
      </c>
      <c r="CR20">
        <v>39.0248</v>
      </c>
      <c r="CS20">
        <v>37.34973333333333</v>
      </c>
      <c r="CT20">
        <v>960.0283333333334</v>
      </c>
      <c r="CU20">
        <v>39.98966666666667</v>
      </c>
      <c r="CV20">
        <v>0</v>
      </c>
      <c r="CW20">
        <v>1750695677</v>
      </c>
      <c r="CX20">
        <v>0</v>
      </c>
      <c r="CY20">
        <v>1750695686.6</v>
      </c>
      <c r="CZ20" t="s">
        <v>368</v>
      </c>
      <c r="DA20">
        <v>1750695677.6</v>
      </c>
      <c r="DB20">
        <v>1750695686.6</v>
      </c>
      <c r="DC20">
        <v>4</v>
      </c>
      <c r="DD20">
        <v>0.027</v>
      </c>
      <c r="DE20">
        <v>-0.007</v>
      </c>
      <c r="DF20">
        <v>2.564</v>
      </c>
      <c r="DG20">
        <v>-0.045</v>
      </c>
      <c r="DH20">
        <v>405</v>
      </c>
      <c r="DI20">
        <v>10</v>
      </c>
      <c r="DJ20">
        <v>0.12</v>
      </c>
      <c r="DK20">
        <v>0.02</v>
      </c>
      <c r="DL20">
        <v>-7.287640487804877</v>
      </c>
      <c r="DM20">
        <v>-0.004489965156804786</v>
      </c>
      <c r="DN20">
        <v>0.01826090558906589</v>
      </c>
      <c r="DO20">
        <v>1</v>
      </c>
      <c r="DP20">
        <v>3.96329243902439</v>
      </c>
      <c r="DQ20">
        <v>-0.5114721951219574</v>
      </c>
      <c r="DR20">
        <v>0.05093296051892028</v>
      </c>
      <c r="DS20">
        <v>0</v>
      </c>
      <c r="DT20">
        <v>1</v>
      </c>
      <c r="DU20">
        <v>2</v>
      </c>
      <c r="DV20" t="s">
        <v>355</v>
      </c>
      <c r="DW20">
        <v>3.44586</v>
      </c>
      <c r="DX20">
        <v>2.78036</v>
      </c>
      <c r="DY20">
        <v>0.0970526</v>
      </c>
      <c r="DZ20">
        <v>0.0987991</v>
      </c>
      <c r="EA20">
        <v>0.08282879999999999</v>
      </c>
      <c r="EB20">
        <v>0.0649571</v>
      </c>
      <c r="EC20">
        <v>27378.5</v>
      </c>
      <c r="ED20">
        <v>31087.4</v>
      </c>
      <c r="EE20">
        <v>29437.9</v>
      </c>
      <c r="EF20">
        <v>35067.4</v>
      </c>
      <c r="EG20">
        <v>31213.9</v>
      </c>
      <c r="EH20">
        <v>40717.7</v>
      </c>
      <c r="EI20">
        <v>36228.2</v>
      </c>
      <c r="EJ20">
        <v>46434.8</v>
      </c>
      <c r="EK20">
        <v>2.56055</v>
      </c>
      <c r="EL20">
        <v>2.3539</v>
      </c>
      <c r="EM20">
        <v>0.08082019999999999</v>
      </c>
      <c r="EN20">
        <v>0</v>
      </c>
      <c r="EO20">
        <v>20.2318</v>
      </c>
      <c r="EP20">
        <v>999.9</v>
      </c>
      <c r="EQ20">
        <v>72.59999999999999</v>
      </c>
      <c r="ER20">
        <v>19.6</v>
      </c>
      <c r="ES20">
        <v>16.3881</v>
      </c>
      <c r="ET20">
        <v>61.5182</v>
      </c>
      <c r="EU20">
        <v>25.8574</v>
      </c>
      <c r="EV20">
        <v>2</v>
      </c>
      <c r="EW20">
        <v>-0.5602009999999999</v>
      </c>
      <c r="EX20">
        <v>0</v>
      </c>
      <c r="EY20">
        <v>20.2925</v>
      </c>
      <c r="EZ20">
        <v>5.21549</v>
      </c>
      <c r="FA20">
        <v>11.968</v>
      </c>
      <c r="FB20">
        <v>4.9917</v>
      </c>
      <c r="FC20">
        <v>3.2719</v>
      </c>
      <c r="FD20">
        <v>2650</v>
      </c>
      <c r="FE20">
        <v>9999</v>
      </c>
      <c r="FF20">
        <v>9999</v>
      </c>
      <c r="FG20">
        <v>999.9</v>
      </c>
      <c r="FH20">
        <v>4.97252</v>
      </c>
      <c r="FI20">
        <v>1.86218</v>
      </c>
      <c r="FJ20">
        <v>1.86386</v>
      </c>
      <c r="FK20">
        <v>1.86225</v>
      </c>
      <c r="FL20">
        <v>1.86234</v>
      </c>
      <c r="FM20">
        <v>1.86295</v>
      </c>
      <c r="FN20">
        <v>1.85944</v>
      </c>
      <c r="FO20">
        <v>1.86234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2.564</v>
      </c>
      <c r="GD20">
        <v>-0.045</v>
      </c>
      <c r="GE20">
        <v>2.820570694034058</v>
      </c>
      <c r="GF20">
        <v>-0.001033730503750798</v>
      </c>
      <c r="GG20">
        <v>9.120241388950126E-07</v>
      </c>
      <c r="GH20">
        <v>-2.246115299815222E-10</v>
      </c>
      <c r="GI20">
        <v>-0.053587327942187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3.8</v>
      </c>
      <c r="GR20">
        <v>12.9</v>
      </c>
      <c r="GS20">
        <v>1.2439</v>
      </c>
      <c r="GT20">
        <v>2.34375</v>
      </c>
      <c r="GU20">
        <v>2.34741</v>
      </c>
      <c r="GV20">
        <v>2.79541</v>
      </c>
      <c r="GW20">
        <v>2.39868</v>
      </c>
      <c r="GX20">
        <v>2.24854</v>
      </c>
      <c r="GY20">
        <v>25.6962</v>
      </c>
      <c r="GZ20">
        <v>14.2809</v>
      </c>
      <c r="HA20">
        <v>18</v>
      </c>
      <c r="HB20">
        <v>785.909</v>
      </c>
      <c r="HC20">
        <v>686.386</v>
      </c>
      <c r="HD20">
        <v>20.7005</v>
      </c>
      <c r="HE20">
        <v>19.7947</v>
      </c>
      <c r="HF20">
        <v>30.0008</v>
      </c>
      <c r="HG20">
        <v>19.5762</v>
      </c>
      <c r="HH20">
        <v>19.5194</v>
      </c>
      <c r="HI20">
        <v>24.9564</v>
      </c>
      <c r="HJ20">
        <v>38.2104</v>
      </c>
      <c r="HK20">
        <v>91.22790000000001</v>
      </c>
      <c r="HL20">
        <v>-999.9</v>
      </c>
      <c r="HM20">
        <v>405</v>
      </c>
      <c r="HN20">
        <v>10.3982</v>
      </c>
      <c r="HO20">
        <v>101.058</v>
      </c>
      <c r="HP20">
        <v>101.376</v>
      </c>
    </row>
    <row r="21" spans="1:224">
      <c r="A21">
        <v>5</v>
      </c>
      <c r="B21">
        <v>1750695961.1</v>
      </c>
      <c r="C21">
        <v>1098</v>
      </c>
      <c r="D21" t="s">
        <v>369</v>
      </c>
      <c r="E21" t="s">
        <v>370</v>
      </c>
      <c r="F21">
        <v>15</v>
      </c>
      <c r="G21">
        <v>1750695953.349999</v>
      </c>
      <c r="H21">
        <f>(I21)/1000</f>
        <v>0</v>
      </c>
      <c r="I21">
        <f>IF(BD21, AL21, AF21)</f>
        <v>0</v>
      </c>
      <c r="J21">
        <f>IF(BD21, AG21, AE21)</f>
        <v>0</v>
      </c>
      <c r="K21">
        <f>BF21 - IF(AS21&gt;1, J21*AZ21*100.0/(AU21), 0)</f>
        <v>0</v>
      </c>
      <c r="L21">
        <f>((R21-H21/2)*K21-J21)/(R21+H21/2)</f>
        <v>0</v>
      </c>
      <c r="M21">
        <f>L21*(BM21+BN21)/1000.0</f>
        <v>0</v>
      </c>
      <c r="N21">
        <f>(BF21 - IF(AS21&gt;1, J21*AZ21*100.0/(AU21), 0))*(BM21+BN21)/1000.0</f>
        <v>0</v>
      </c>
      <c r="O21">
        <f>2.0/((1/Q21-1/P21)+SIGN(Q21)*SQRT((1/Q21-1/P21)*(1/Q21-1/P21) + 4*BA21/((BA21+1)*(BA21+1))*(2*1/Q21*1/P21-1/P21*1/P21)))</f>
        <v>0</v>
      </c>
      <c r="P21">
        <f>IF(LEFT(BB21,1)&lt;&gt;"0",IF(LEFT(BB21,1)="1",3.0,BC21),$D$5+$E$5*(BT21*BM21/($K$5*1000))+$F$5*(BT21*BM21/($K$5*1000))*MAX(MIN(AZ21,$J$5),$I$5)*MAX(MIN(AZ21,$J$5),$I$5)+$G$5*MAX(MIN(AZ21,$J$5),$I$5)*(BT21*BM21/($K$5*1000))+$H$5*(BT21*BM21/($K$5*1000))*(BT21*BM21/($K$5*1000)))</f>
        <v>0</v>
      </c>
      <c r="Q21">
        <f>H21*(1000-(1000*0.61365*exp(17.502*U21/(240.97+U21))/(BM21+BN21)+BH21)/2)/(1000*0.61365*exp(17.502*U21/(240.97+U21))/(BM21+BN21)-BH21)</f>
        <v>0</v>
      </c>
      <c r="R21">
        <f>1/((BA21+1)/(O21/1.6)+1/(P21/1.37)) + BA21/((BA21+1)/(O21/1.6) + BA21/(P21/1.37))</f>
        <v>0</v>
      </c>
      <c r="S21">
        <f>(AV21*AY21)</f>
        <v>0</v>
      </c>
      <c r="T21">
        <f>(BO21+(S21+2*0.95*5.67E-8*(((BO21+$B$7)+273)^4-(BO21+273)^4)-44100*H21)/(1.84*29.3*P21+8*0.95*5.67E-8*(BO21+273)^3))</f>
        <v>0</v>
      </c>
      <c r="U21">
        <f>($C$7*BP21+$D$7*BQ21+$E$7*T21)</f>
        <v>0</v>
      </c>
      <c r="V21">
        <f>0.61365*exp(17.502*U21/(240.97+U21))</f>
        <v>0</v>
      </c>
      <c r="W21">
        <f>(X21/Y21*100)</f>
        <v>0</v>
      </c>
      <c r="X21">
        <f>BH21*(BM21+BN21)/1000</f>
        <v>0</v>
      </c>
      <c r="Y21">
        <f>0.61365*exp(17.502*BO21/(240.97+BO21))</f>
        <v>0</v>
      </c>
      <c r="Z21">
        <f>(V21-BH21*(BM21+BN21)/1000)</f>
        <v>0</v>
      </c>
      <c r="AA21">
        <f>(-H21*44100)</f>
        <v>0</v>
      </c>
      <c r="AB21">
        <f>2*29.3*P21*0.92*(BO21-U21)</f>
        <v>0</v>
      </c>
      <c r="AC21">
        <f>2*0.95*5.67E-8*(((BO21+$B$7)+273)^4-(U21+273)^4)</f>
        <v>0</v>
      </c>
      <c r="AD21">
        <f>S21+AC21+AA21+AB21</f>
        <v>0</v>
      </c>
      <c r="AE21">
        <f>BL21*AS21*(BG21-BF21*(1000-AS21*BI21)/(1000-AS21*BH21))/(100*AZ21)</f>
        <v>0</v>
      </c>
      <c r="AF21">
        <f>1000*BL21*AS21*(BH21-BI21)/(100*AZ21*(1000-AS21*BH21))</f>
        <v>0</v>
      </c>
      <c r="AG21">
        <f>(AH21 - AI21 - BM21*1E3/(8.314*(BO21+273.15)) * AK21/BL21 * AJ21) * BL21/(100*AZ21) * (1000 - BI21)/1000</f>
        <v>0</v>
      </c>
      <c r="AH21">
        <v>409.7862328964317</v>
      </c>
      <c r="AI21">
        <v>402.8046969696969</v>
      </c>
      <c r="AJ21">
        <v>0.00277614950328755</v>
      </c>
      <c r="AK21">
        <v>66.97155656743782</v>
      </c>
      <c r="AL21">
        <f>(AN21 - AM21 + BM21*1E3/(8.314*(BO21+273.15)) * AP21/BL21 * AO21) * BL21/(100*AZ21) * 1000/(1000 - AN21)</f>
        <v>0</v>
      </c>
      <c r="AM21">
        <v>11.76477145663903</v>
      </c>
      <c r="AN21">
        <v>14.64964545454545</v>
      </c>
      <c r="AO21">
        <v>0.008314006757188123</v>
      </c>
      <c r="AP21">
        <v>79.07893723017878</v>
      </c>
      <c r="AQ21">
        <v>237</v>
      </c>
      <c r="AR21">
        <v>30</v>
      </c>
      <c r="AS21">
        <f>IF(AQ21*$H$13&gt;=AU21,1.0,(AU21/(AU21-AQ21*$H$13)))</f>
        <v>0</v>
      </c>
      <c r="AT21">
        <f>(AS21-1)*100</f>
        <v>0</v>
      </c>
      <c r="AU21">
        <f>MAX(0,($B$13+$C$13*BT21)/(1+$D$13*BT21)*BM21/(BO21+273)*$E$13)</f>
        <v>0</v>
      </c>
      <c r="AV21">
        <f>$B$11*BU21+$C$11*BV21+$F$11*CG21*(1-CJ21)</f>
        <v>0</v>
      </c>
      <c r="AW21">
        <f>AV21*AX21</f>
        <v>0</v>
      </c>
      <c r="AX21">
        <f>($B$11*$D$9+$C$11*$D$9+$F$11*((CT21+CL21)/MAX(CT21+CL21+CU21, 0.1)*$I$9+CU21/MAX(CT21+CL21+CU21, 0.1)*$J$9))/($B$11+$C$11+$F$11)</f>
        <v>0</v>
      </c>
      <c r="AY21">
        <f>($B$11*$K$9+$C$11*$K$9+$F$11*((CT21+CL21)/MAX(CT21+CL21+CU21, 0.1)*$P$9+CU21/MAX(CT21+CL21+CU21, 0.1)*$Q$9))/($B$11+$C$11+$F$11)</f>
        <v>0</v>
      </c>
      <c r="AZ21">
        <v>6</v>
      </c>
      <c r="BA21">
        <v>0.5</v>
      </c>
      <c r="BB21" t="s">
        <v>353</v>
      </c>
      <c r="BC21">
        <v>2</v>
      </c>
      <c r="BD21" t="b">
        <v>0</v>
      </c>
      <c r="BE21">
        <v>1750695953.349999</v>
      </c>
      <c r="BF21">
        <v>396.8297666666667</v>
      </c>
      <c r="BG21">
        <v>404.9550333333334</v>
      </c>
      <c r="BH21">
        <v>14.58664</v>
      </c>
      <c r="BI21">
        <v>11.68168666666667</v>
      </c>
      <c r="BJ21">
        <v>394.3257666666667</v>
      </c>
      <c r="BK21">
        <v>14.52794</v>
      </c>
      <c r="BL21">
        <v>799.9942666666666</v>
      </c>
      <c r="BM21">
        <v>101.4092666666667</v>
      </c>
      <c r="BN21">
        <v>0.09991626333333332</v>
      </c>
      <c r="BO21">
        <v>22.48128000000001</v>
      </c>
      <c r="BP21">
        <v>21.11510666666667</v>
      </c>
      <c r="BQ21">
        <v>999.9000000000002</v>
      </c>
      <c r="BR21">
        <v>0</v>
      </c>
      <c r="BS21">
        <v>0</v>
      </c>
      <c r="BT21">
        <v>9998.286333333332</v>
      </c>
      <c r="BU21">
        <v>0</v>
      </c>
      <c r="BV21">
        <v>0.00152894</v>
      </c>
      <c r="BW21">
        <v>-8.061799000000001</v>
      </c>
      <c r="BX21">
        <v>402.7682666666667</v>
      </c>
      <c r="BY21">
        <v>409.7415999999999</v>
      </c>
      <c r="BZ21">
        <v>2.904961</v>
      </c>
      <c r="CA21">
        <v>404.9550333333334</v>
      </c>
      <c r="CB21">
        <v>11.68168666666667</v>
      </c>
      <c r="CC21">
        <v>1.479220333333333</v>
      </c>
      <c r="CD21">
        <v>1.18463</v>
      </c>
      <c r="CE21">
        <v>12.75499666666667</v>
      </c>
      <c r="CF21">
        <v>9.409487666666667</v>
      </c>
      <c r="CG21">
        <v>999.9793333333332</v>
      </c>
      <c r="CH21">
        <v>0.9599915666666666</v>
      </c>
      <c r="CI21">
        <v>0.04000813333333335</v>
      </c>
      <c r="CJ21">
        <v>0</v>
      </c>
      <c r="CK21">
        <v>3.972166666666667</v>
      </c>
      <c r="CL21">
        <v>0</v>
      </c>
      <c r="CM21">
        <v>7594.960333333333</v>
      </c>
      <c r="CN21">
        <v>7946.718666666667</v>
      </c>
      <c r="CO21">
        <v>37.78303333333333</v>
      </c>
      <c r="CP21">
        <v>41.28723333333332</v>
      </c>
      <c r="CQ21">
        <v>39.31643333333333</v>
      </c>
      <c r="CR21">
        <v>40.68106666666666</v>
      </c>
      <c r="CS21">
        <v>37.71849999999999</v>
      </c>
      <c r="CT21">
        <v>959.9716666666667</v>
      </c>
      <c r="CU21">
        <v>40.00966666666667</v>
      </c>
      <c r="CV21">
        <v>0</v>
      </c>
      <c r="CW21">
        <v>1750695977.6</v>
      </c>
      <c r="CX21">
        <v>0</v>
      </c>
      <c r="CY21">
        <v>1750695981.6</v>
      </c>
      <c r="CZ21" t="s">
        <v>371</v>
      </c>
      <c r="DA21">
        <v>1750695981.6</v>
      </c>
      <c r="DB21">
        <v>1750695686.6</v>
      </c>
      <c r="DC21">
        <v>5</v>
      </c>
      <c r="DD21">
        <v>-0.06</v>
      </c>
      <c r="DE21">
        <v>-0.007</v>
      </c>
      <c r="DF21">
        <v>2.504</v>
      </c>
      <c r="DG21">
        <v>-0.045</v>
      </c>
      <c r="DH21">
        <v>405</v>
      </c>
      <c r="DI21">
        <v>10</v>
      </c>
      <c r="DJ21">
        <v>0.29</v>
      </c>
      <c r="DK21">
        <v>0.02</v>
      </c>
      <c r="DL21">
        <v>-8.058053000000001</v>
      </c>
      <c r="DM21">
        <v>-0.1167174484052432</v>
      </c>
      <c r="DN21">
        <v>0.02108709180991999</v>
      </c>
      <c r="DO21">
        <v>0</v>
      </c>
      <c r="DP21">
        <v>2.952058</v>
      </c>
      <c r="DQ21">
        <v>-0.8169350093808624</v>
      </c>
      <c r="DR21">
        <v>0.08358545600760937</v>
      </c>
      <c r="DS21">
        <v>0</v>
      </c>
      <c r="DT21">
        <v>0</v>
      </c>
      <c r="DU21">
        <v>2</v>
      </c>
      <c r="DV21" t="s">
        <v>372</v>
      </c>
      <c r="DW21">
        <v>3.44666</v>
      </c>
      <c r="DX21">
        <v>2.78064</v>
      </c>
      <c r="DY21">
        <v>0.0967855</v>
      </c>
      <c r="DZ21">
        <v>0.09869070000000001</v>
      </c>
      <c r="EA21">
        <v>0.0847097</v>
      </c>
      <c r="EB21">
        <v>0.0717057</v>
      </c>
      <c r="EC21">
        <v>27373</v>
      </c>
      <c r="ED21">
        <v>31075.6</v>
      </c>
      <c r="EE21">
        <v>29424.9</v>
      </c>
      <c r="EF21">
        <v>35052</v>
      </c>
      <c r="EG21">
        <v>31136.6</v>
      </c>
      <c r="EH21">
        <v>40404.6</v>
      </c>
      <c r="EI21">
        <v>36213.4</v>
      </c>
      <c r="EJ21">
        <v>46413.7</v>
      </c>
      <c r="EK21">
        <v>2.17703</v>
      </c>
      <c r="EL21">
        <v>2.34483</v>
      </c>
      <c r="EM21">
        <v>0.0312552</v>
      </c>
      <c r="EN21">
        <v>0</v>
      </c>
      <c r="EO21">
        <v>20.6417</v>
      </c>
      <c r="EP21">
        <v>999.9</v>
      </c>
      <c r="EQ21">
        <v>71.7</v>
      </c>
      <c r="ER21">
        <v>20.2</v>
      </c>
      <c r="ES21">
        <v>16.798</v>
      </c>
      <c r="ET21">
        <v>61.4182</v>
      </c>
      <c r="EU21">
        <v>25.7051</v>
      </c>
      <c r="EV21">
        <v>2</v>
      </c>
      <c r="EW21">
        <v>-0.530196</v>
      </c>
      <c r="EX21">
        <v>0</v>
      </c>
      <c r="EY21">
        <v>20.2947</v>
      </c>
      <c r="EZ21">
        <v>5.21579</v>
      </c>
      <c r="FA21">
        <v>11.968</v>
      </c>
      <c r="FB21">
        <v>4.9921</v>
      </c>
      <c r="FC21">
        <v>3.2719</v>
      </c>
      <c r="FD21">
        <v>2659.7</v>
      </c>
      <c r="FE21">
        <v>9999</v>
      </c>
      <c r="FF21">
        <v>9999</v>
      </c>
      <c r="FG21">
        <v>999.9</v>
      </c>
      <c r="FH21">
        <v>4.9725</v>
      </c>
      <c r="FI21">
        <v>1.86221</v>
      </c>
      <c r="FJ21">
        <v>1.86389</v>
      </c>
      <c r="FK21">
        <v>1.86234</v>
      </c>
      <c r="FL21">
        <v>1.86243</v>
      </c>
      <c r="FM21">
        <v>1.86304</v>
      </c>
      <c r="FN21">
        <v>1.85946</v>
      </c>
      <c r="FO21">
        <v>1.86234</v>
      </c>
      <c r="FP21">
        <v>0</v>
      </c>
      <c r="FQ21">
        <v>0</v>
      </c>
      <c r="FR21">
        <v>0</v>
      </c>
      <c r="FS21">
        <v>0</v>
      </c>
      <c r="FT21" t="s">
        <v>356</v>
      </c>
      <c r="FU21" t="s">
        <v>357</v>
      </c>
      <c r="FV21" t="s">
        <v>358</v>
      </c>
      <c r="FW21" t="s">
        <v>358</v>
      </c>
      <c r="FX21" t="s">
        <v>358</v>
      </c>
      <c r="FY21" t="s">
        <v>358</v>
      </c>
      <c r="FZ21">
        <v>0</v>
      </c>
      <c r="GA21">
        <v>100</v>
      </c>
      <c r="GB21">
        <v>100</v>
      </c>
      <c r="GC21">
        <v>2.504</v>
      </c>
      <c r="GD21">
        <v>0.0606</v>
      </c>
      <c r="GE21">
        <v>2.847086322000653</v>
      </c>
      <c r="GF21">
        <v>-0.001033730503750798</v>
      </c>
      <c r="GG21">
        <v>9.120241388950126E-07</v>
      </c>
      <c r="GH21">
        <v>-2.246115299815222E-10</v>
      </c>
      <c r="GI21">
        <v>-0.06064080824595411</v>
      </c>
      <c r="GJ21">
        <v>-0.01814858093373864</v>
      </c>
      <c r="GK21">
        <v>0.002091959988359369</v>
      </c>
      <c r="GL21">
        <v>-1.90871700788604E-05</v>
      </c>
      <c r="GM21">
        <v>2</v>
      </c>
      <c r="GN21">
        <v>2210</v>
      </c>
      <c r="GO21">
        <v>1</v>
      </c>
      <c r="GP21">
        <v>26</v>
      </c>
      <c r="GQ21">
        <v>4.7</v>
      </c>
      <c r="GR21">
        <v>4.6</v>
      </c>
      <c r="GS21">
        <v>1.25122</v>
      </c>
      <c r="GT21">
        <v>2.34497</v>
      </c>
      <c r="GU21">
        <v>2.34863</v>
      </c>
      <c r="GV21">
        <v>2.79053</v>
      </c>
      <c r="GW21">
        <v>2.39868</v>
      </c>
      <c r="GX21">
        <v>2.26562</v>
      </c>
      <c r="GY21">
        <v>26.3134</v>
      </c>
      <c r="GZ21">
        <v>14.2546</v>
      </c>
      <c r="HA21">
        <v>18</v>
      </c>
      <c r="HB21">
        <v>522.572</v>
      </c>
      <c r="HC21">
        <v>686.372</v>
      </c>
      <c r="HD21">
        <v>21.2582</v>
      </c>
      <c r="HE21">
        <v>20.2964</v>
      </c>
      <c r="HF21">
        <v>30.0006</v>
      </c>
      <c r="HG21">
        <v>20.1119</v>
      </c>
      <c r="HH21">
        <v>20.0483</v>
      </c>
      <c r="HI21">
        <v>25.1092</v>
      </c>
      <c r="HJ21">
        <v>32.5533</v>
      </c>
      <c r="HK21">
        <v>85.1983</v>
      </c>
      <c r="HL21">
        <v>-999.9</v>
      </c>
      <c r="HM21">
        <v>405</v>
      </c>
      <c r="HN21">
        <v>11.8599</v>
      </c>
      <c r="HO21">
        <v>101.015</v>
      </c>
      <c r="HP21">
        <v>101.33</v>
      </c>
    </row>
    <row r="22" spans="1:224">
      <c r="A22">
        <v>6</v>
      </c>
      <c r="B22">
        <v>1750696260.1</v>
      </c>
      <c r="C22">
        <v>1397</v>
      </c>
      <c r="D22" t="s">
        <v>373</v>
      </c>
      <c r="E22" t="s">
        <v>374</v>
      </c>
      <c r="F22">
        <v>15</v>
      </c>
      <c r="G22">
        <v>1750696252.349999</v>
      </c>
      <c r="H22">
        <f>(I22)/1000</f>
        <v>0</v>
      </c>
      <c r="I22">
        <f>IF(BD22, AL22, AF22)</f>
        <v>0</v>
      </c>
      <c r="J22">
        <f>IF(BD22, AG22, AE22)</f>
        <v>0</v>
      </c>
      <c r="K22">
        <f>BF22 - IF(AS22&gt;1, J22*AZ22*100.0/(AU22), 0)</f>
        <v>0</v>
      </c>
      <c r="L22">
        <f>((R22-H22/2)*K22-J22)/(R22+H22/2)</f>
        <v>0</v>
      </c>
      <c r="M22">
        <f>L22*(BM22+BN22)/1000.0</f>
        <v>0</v>
      </c>
      <c r="N22">
        <f>(BF22 - IF(AS22&gt;1, J22*AZ22*100.0/(AU22), 0))*(BM22+BN22)/1000.0</f>
        <v>0</v>
      </c>
      <c r="O22">
        <f>2.0/((1/Q22-1/P22)+SIGN(Q22)*SQRT((1/Q22-1/P22)*(1/Q22-1/P22) + 4*BA22/((BA22+1)*(BA22+1))*(2*1/Q22*1/P22-1/P22*1/P22)))</f>
        <v>0</v>
      </c>
      <c r="P22">
        <f>IF(LEFT(BB22,1)&lt;&gt;"0",IF(LEFT(BB22,1)="1",3.0,BC22),$D$5+$E$5*(BT22*BM22/($K$5*1000))+$F$5*(BT22*BM22/($K$5*1000))*MAX(MIN(AZ22,$J$5),$I$5)*MAX(MIN(AZ22,$J$5),$I$5)+$G$5*MAX(MIN(AZ22,$J$5),$I$5)*(BT22*BM22/($K$5*1000))+$H$5*(BT22*BM22/($K$5*1000))*(BT22*BM22/($K$5*1000)))</f>
        <v>0</v>
      </c>
      <c r="Q22">
        <f>H22*(1000-(1000*0.61365*exp(17.502*U22/(240.97+U22))/(BM22+BN22)+BH22)/2)/(1000*0.61365*exp(17.502*U22/(240.97+U22))/(BM22+BN22)-BH22)</f>
        <v>0</v>
      </c>
      <c r="R22">
        <f>1/((BA22+1)/(O22/1.6)+1/(P22/1.37)) + BA22/((BA22+1)/(O22/1.6) + BA22/(P22/1.37))</f>
        <v>0</v>
      </c>
      <c r="S22">
        <f>(AV22*AY22)</f>
        <v>0</v>
      </c>
      <c r="T22">
        <f>(BO22+(S22+2*0.95*5.67E-8*(((BO22+$B$7)+273)^4-(BO22+273)^4)-44100*H22)/(1.84*29.3*P22+8*0.95*5.67E-8*(BO22+273)^3))</f>
        <v>0</v>
      </c>
      <c r="U22">
        <f>($C$7*BP22+$D$7*BQ22+$E$7*T22)</f>
        <v>0</v>
      </c>
      <c r="V22">
        <f>0.61365*exp(17.502*U22/(240.97+U22))</f>
        <v>0</v>
      </c>
      <c r="W22">
        <f>(X22/Y22*100)</f>
        <v>0</v>
      </c>
      <c r="X22">
        <f>BH22*(BM22+BN22)/1000</f>
        <v>0</v>
      </c>
      <c r="Y22">
        <f>0.61365*exp(17.502*BO22/(240.97+BO22))</f>
        <v>0</v>
      </c>
      <c r="Z22">
        <f>(V22-BH22*(BM22+BN22)/1000)</f>
        <v>0</v>
      </c>
      <c r="AA22">
        <f>(-H22*44100)</f>
        <v>0</v>
      </c>
      <c r="AB22">
        <f>2*29.3*P22*0.92*(BO22-U22)</f>
        <v>0</v>
      </c>
      <c r="AC22">
        <f>2*0.95*5.67E-8*(((BO22+$B$7)+273)^4-(U22+273)^4)</f>
        <v>0</v>
      </c>
      <c r="AD22">
        <f>S22+AC22+AA22+AB22</f>
        <v>0</v>
      </c>
      <c r="AE22">
        <f>BL22*AS22*(BG22-BF22*(1000-AS22*BI22)/(1000-AS22*BH22))/(100*AZ22)</f>
        <v>0</v>
      </c>
      <c r="AF22">
        <f>1000*BL22*AS22*(BH22-BI22)/(100*AZ22*(1000-AS22*BH22))</f>
        <v>0</v>
      </c>
      <c r="AG22">
        <f>(AH22 - AI22 - BM22*1E3/(8.314*(BO22+273.15)) * AK22/BL22 * AJ22) * BL22/(100*AZ22) * (1000 - BI22)/1000</f>
        <v>0</v>
      </c>
      <c r="AH22">
        <v>410.1993492535354</v>
      </c>
      <c r="AI22">
        <v>400.623527272727</v>
      </c>
      <c r="AJ22">
        <v>0.0008522163416936662</v>
      </c>
      <c r="AK22">
        <v>66.97284199544026</v>
      </c>
      <c r="AL22">
        <f>(AN22 - AM22 + BM22*1E3/(8.314*(BO22+273.15)) * AP22/BL22 * AO22) * BL22/(100*AZ22) * 1000/(1000 - AN22)</f>
        <v>0</v>
      </c>
      <c r="AM22">
        <v>12.65994511124186</v>
      </c>
      <c r="AN22">
        <v>15.04722545454545</v>
      </c>
      <c r="AO22">
        <v>0.005286751343196994</v>
      </c>
      <c r="AP22">
        <v>79.07383979944515</v>
      </c>
      <c r="AQ22">
        <v>302</v>
      </c>
      <c r="AR22">
        <v>38</v>
      </c>
      <c r="AS22">
        <f>IF(AQ22*$H$13&gt;=AU22,1.0,(AU22/(AU22-AQ22*$H$13)))</f>
        <v>0</v>
      </c>
      <c r="AT22">
        <f>(AS22-1)*100</f>
        <v>0</v>
      </c>
      <c r="AU22">
        <f>MAX(0,($B$13+$C$13*BT22)/(1+$D$13*BT22)*BM22/(BO22+273)*$E$13)</f>
        <v>0</v>
      </c>
      <c r="AV22">
        <f>$B$11*BU22+$C$11*BV22+$F$11*CG22*(1-CJ22)</f>
        <v>0</v>
      </c>
      <c r="AW22">
        <f>AV22*AX22</f>
        <v>0</v>
      </c>
      <c r="AX22">
        <f>($B$11*$D$9+$C$11*$D$9+$F$11*((CT22+CL22)/MAX(CT22+CL22+CU22, 0.1)*$I$9+CU22/MAX(CT22+CL22+CU22, 0.1)*$J$9))/($B$11+$C$11+$F$11)</f>
        <v>0</v>
      </c>
      <c r="AY22">
        <f>($B$11*$K$9+$C$11*$K$9+$F$11*((CT22+CL22)/MAX(CT22+CL22+CU22, 0.1)*$P$9+CU22/MAX(CT22+CL22+CU22, 0.1)*$Q$9))/($B$11+$C$11+$F$11)</f>
        <v>0</v>
      </c>
      <c r="AZ22">
        <v>6</v>
      </c>
      <c r="BA22">
        <v>0.5</v>
      </c>
      <c r="BB22" t="s">
        <v>353</v>
      </c>
      <c r="BC22">
        <v>2</v>
      </c>
      <c r="BD22" t="b">
        <v>0</v>
      </c>
      <c r="BE22">
        <v>1750696252.349999</v>
      </c>
      <c r="BF22">
        <v>394.5816666666666</v>
      </c>
      <c r="BG22">
        <v>404.9755333333334</v>
      </c>
      <c r="BH22">
        <v>14.99464666666667</v>
      </c>
      <c r="BI22">
        <v>12.62459666666667</v>
      </c>
      <c r="BJ22">
        <v>392.0729666666666</v>
      </c>
      <c r="BK22">
        <v>14.92366</v>
      </c>
      <c r="BL22">
        <v>799.9717000000001</v>
      </c>
      <c r="BM22">
        <v>101.4103333333333</v>
      </c>
      <c r="BN22">
        <v>0.09990603666666666</v>
      </c>
      <c r="BO22">
        <v>22.85335333333333</v>
      </c>
      <c r="BP22">
        <v>22.17622666666667</v>
      </c>
      <c r="BQ22">
        <v>999.9000000000002</v>
      </c>
      <c r="BR22">
        <v>0</v>
      </c>
      <c r="BS22">
        <v>0</v>
      </c>
      <c r="BT22">
        <v>10001.318</v>
      </c>
      <c r="BU22">
        <v>0</v>
      </c>
      <c r="BV22">
        <v>0.00152894</v>
      </c>
      <c r="BW22">
        <v>-10.39384</v>
      </c>
      <c r="BX22">
        <v>400.5883666666667</v>
      </c>
      <c r="BY22">
        <v>410.1535666666666</v>
      </c>
      <c r="BZ22">
        <v>2.370052</v>
      </c>
      <c r="CA22">
        <v>404.9755333333334</v>
      </c>
      <c r="CB22">
        <v>12.62459666666667</v>
      </c>
      <c r="CC22">
        <v>1.520612</v>
      </c>
      <c r="CD22">
        <v>1.280264</v>
      </c>
      <c r="CE22">
        <v>13.17695666666667</v>
      </c>
      <c r="CF22">
        <v>10.56907</v>
      </c>
      <c r="CG22">
        <v>1000.008833333333</v>
      </c>
      <c r="CH22">
        <v>0.9599915666666666</v>
      </c>
      <c r="CI22">
        <v>0.04000803333333334</v>
      </c>
      <c r="CJ22">
        <v>0</v>
      </c>
      <c r="CK22">
        <v>2.640666666666667</v>
      </c>
      <c r="CL22">
        <v>0</v>
      </c>
      <c r="CM22">
        <v>7194.241</v>
      </c>
      <c r="CN22">
        <v>7946.957666666667</v>
      </c>
      <c r="CO22">
        <v>36.38723333333333</v>
      </c>
      <c r="CP22">
        <v>39.77266666666666</v>
      </c>
      <c r="CQ22">
        <v>37.87889999999999</v>
      </c>
      <c r="CR22">
        <v>38.56429999999999</v>
      </c>
      <c r="CS22">
        <v>36.47683333333332</v>
      </c>
      <c r="CT22">
        <v>959.9996666666665</v>
      </c>
      <c r="CU22">
        <v>40.01</v>
      </c>
      <c r="CV22">
        <v>0</v>
      </c>
      <c r="CW22">
        <v>1750696277</v>
      </c>
      <c r="CX22">
        <v>0</v>
      </c>
      <c r="CY22">
        <v>1750695981.6</v>
      </c>
      <c r="CZ22" t="s">
        <v>371</v>
      </c>
      <c r="DA22">
        <v>1750695981.6</v>
      </c>
      <c r="DB22">
        <v>1750695686.6</v>
      </c>
      <c r="DC22">
        <v>5</v>
      </c>
      <c r="DD22">
        <v>-0.06</v>
      </c>
      <c r="DE22">
        <v>-0.007</v>
      </c>
      <c r="DF22">
        <v>2.504</v>
      </c>
      <c r="DG22">
        <v>-0.045</v>
      </c>
      <c r="DH22">
        <v>405</v>
      </c>
      <c r="DI22">
        <v>10</v>
      </c>
      <c r="DJ22">
        <v>0.29</v>
      </c>
      <c r="DK22">
        <v>0.02</v>
      </c>
      <c r="DL22">
        <v>-10.38484390243902</v>
      </c>
      <c r="DM22">
        <v>-0.1812397212543646</v>
      </c>
      <c r="DN22">
        <v>0.02486167634381541</v>
      </c>
      <c r="DO22">
        <v>0</v>
      </c>
      <c r="DP22">
        <v>2.378343902439024</v>
      </c>
      <c r="DQ22">
        <v>-0.1116397212543591</v>
      </c>
      <c r="DR22">
        <v>0.01652259412072713</v>
      </c>
      <c r="DS22">
        <v>0</v>
      </c>
      <c r="DT22">
        <v>0</v>
      </c>
      <c r="DU22">
        <v>2</v>
      </c>
      <c r="DV22" t="s">
        <v>372</v>
      </c>
      <c r="DW22">
        <v>3.4469</v>
      </c>
      <c r="DX22">
        <v>2.78054</v>
      </c>
      <c r="DY22">
        <v>0.0962486</v>
      </c>
      <c r="DZ22">
        <v>0.0985843</v>
      </c>
      <c r="EA22">
        <v>0.0862613</v>
      </c>
      <c r="EB22">
        <v>0.0756491</v>
      </c>
      <c r="EC22">
        <v>27370.4</v>
      </c>
      <c r="ED22">
        <v>31061</v>
      </c>
      <c r="EE22">
        <v>29406.1</v>
      </c>
      <c r="EF22">
        <v>35033.5</v>
      </c>
      <c r="EG22">
        <v>31062.4</v>
      </c>
      <c r="EH22">
        <v>40210.9</v>
      </c>
      <c r="EI22">
        <v>36188.7</v>
      </c>
      <c r="EJ22">
        <v>46388.5</v>
      </c>
      <c r="EK22">
        <v>2.04725</v>
      </c>
      <c r="EL22">
        <v>2.33275</v>
      </c>
      <c r="EM22">
        <v>0.07698679999999999</v>
      </c>
      <c r="EN22">
        <v>0</v>
      </c>
      <c r="EO22">
        <v>20.9068</v>
      </c>
      <c r="EP22">
        <v>999.9</v>
      </c>
      <c r="EQ22">
        <v>70.59999999999999</v>
      </c>
      <c r="ER22">
        <v>20.8</v>
      </c>
      <c r="ES22">
        <v>17.1647</v>
      </c>
      <c r="ET22">
        <v>61.5782</v>
      </c>
      <c r="EU22">
        <v>25.7973</v>
      </c>
      <c r="EV22">
        <v>2</v>
      </c>
      <c r="EW22">
        <v>-0.5010520000000001</v>
      </c>
      <c r="EX22">
        <v>0</v>
      </c>
      <c r="EY22">
        <v>20.2939</v>
      </c>
      <c r="EZ22">
        <v>5.2092</v>
      </c>
      <c r="FA22">
        <v>11.968</v>
      </c>
      <c r="FB22">
        <v>4.9907</v>
      </c>
      <c r="FC22">
        <v>3.27125</v>
      </c>
      <c r="FD22">
        <v>2669.1</v>
      </c>
      <c r="FE22">
        <v>9999</v>
      </c>
      <c r="FF22">
        <v>9999</v>
      </c>
      <c r="FG22">
        <v>999.9</v>
      </c>
      <c r="FH22">
        <v>4.97257</v>
      </c>
      <c r="FI22">
        <v>1.86232</v>
      </c>
      <c r="FJ22">
        <v>1.86401</v>
      </c>
      <c r="FK22">
        <v>1.86245</v>
      </c>
      <c r="FL22">
        <v>1.86249</v>
      </c>
      <c r="FM22">
        <v>1.8631</v>
      </c>
      <c r="FN22">
        <v>1.85957</v>
      </c>
      <c r="FO22">
        <v>1.86237</v>
      </c>
      <c r="FP22">
        <v>0</v>
      </c>
      <c r="FQ22">
        <v>0</v>
      </c>
      <c r="FR22">
        <v>0</v>
      </c>
      <c r="FS22">
        <v>0</v>
      </c>
      <c r="FT22" t="s">
        <v>356</v>
      </c>
      <c r="FU22" t="s">
        <v>357</v>
      </c>
      <c r="FV22" t="s">
        <v>358</v>
      </c>
      <c r="FW22" t="s">
        <v>358</v>
      </c>
      <c r="FX22" t="s">
        <v>358</v>
      </c>
      <c r="FY22" t="s">
        <v>358</v>
      </c>
      <c r="FZ22">
        <v>0</v>
      </c>
      <c r="GA22">
        <v>100</v>
      </c>
      <c r="GB22">
        <v>100</v>
      </c>
      <c r="GC22">
        <v>2.508</v>
      </c>
      <c r="GD22">
        <v>0.0726</v>
      </c>
      <c r="GE22">
        <v>2.787340439239117</v>
      </c>
      <c r="GF22">
        <v>-0.001033730503750798</v>
      </c>
      <c r="GG22">
        <v>9.120241388950126E-07</v>
      </c>
      <c r="GH22">
        <v>-2.246115299815222E-10</v>
      </c>
      <c r="GI22">
        <v>-0.06064080824595411</v>
      </c>
      <c r="GJ22">
        <v>-0.01814858093373864</v>
      </c>
      <c r="GK22">
        <v>0.002091959988359369</v>
      </c>
      <c r="GL22">
        <v>-1.90871700788604E-05</v>
      </c>
      <c r="GM22">
        <v>2</v>
      </c>
      <c r="GN22">
        <v>2210</v>
      </c>
      <c r="GO22">
        <v>1</v>
      </c>
      <c r="GP22">
        <v>26</v>
      </c>
      <c r="GQ22">
        <v>4.6</v>
      </c>
      <c r="GR22">
        <v>9.6</v>
      </c>
      <c r="GS22">
        <v>1.25488</v>
      </c>
      <c r="GT22">
        <v>2.35229</v>
      </c>
      <c r="GU22">
        <v>2.34741</v>
      </c>
      <c r="GV22">
        <v>2.78564</v>
      </c>
      <c r="GW22">
        <v>2.39868</v>
      </c>
      <c r="GX22">
        <v>2.26807</v>
      </c>
      <c r="GY22">
        <v>26.8924</v>
      </c>
      <c r="GZ22">
        <v>14.2108</v>
      </c>
      <c r="HA22">
        <v>18</v>
      </c>
      <c r="HB22">
        <v>454.273</v>
      </c>
      <c r="HC22">
        <v>682.845</v>
      </c>
      <c r="HD22">
        <v>21.7543</v>
      </c>
      <c r="HE22">
        <v>20.7567</v>
      </c>
      <c r="HF22">
        <v>30.0005</v>
      </c>
      <c r="HG22">
        <v>20.5781</v>
      </c>
      <c r="HH22">
        <v>20.5107</v>
      </c>
      <c r="HI22">
        <v>25.1564</v>
      </c>
      <c r="HJ22">
        <v>28.774</v>
      </c>
      <c r="HK22">
        <v>77.0795</v>
      </c>
      <c r="HL22">
        <v>-999.9</v>
      </c>
      <c r="HM22">
        <v>405</v>
      </c>
      <c r="HN22">
        <v>12.6826</v>
      </c>
      <c r="HO22">
        <v>100.948</v>
      </c>
      <c r="HP22">
        <v>101.276</v>
      </c>
    </row>
    <row r="23" spans="1:224">
      <c r="A23">
        <v>7</v>
      </c>
      <c r="B23">
        <v>1750696517</v>
      </c>
      <c r="C23">
        <v>1653.900000095367</v>
      </c>
      <c r="D23" t="s">
        <v>375</v>
      </c>
      <c r="E23" t="s">
        <v>376</v>
      </c>
      <c r="F23">
        <v>15</v>
      </c>
      <c r="G23">
        <v>1750696509.25</v>
      </c>
      <c r="H23">
        <f>(I23)/1000</f>
        <v>0</v>
      </c>
      <c r="I23">
        <f>IF(BD23, AL23, AF23)</f>
        <v>0</v>
      </c>
      <c r="J23">
        <f>IF(BD23, AG23, AE23)</f>
        <v>0</v>
      </c>
      <c r="K23">
        <f>BF23 - IF(AS23&gt;1, J23*AZ23*100.0/(AU23), 0)</f>
        <v>0</v>
      </c>
      <c r="L23">
        <f>((R23-H23/2)*K23-J23)/(R23+H23/2)</f>
        <v>0</v>
      </c>
      <c r="M23">
        <f>L23*(BM23+BN23)/1000.0</f>
        <v>0</v>
      </c>
      <c r="N23">
        <f>(BF23 - IF(AS23&gt;1, J23*AZ23*100.0/(AU23), 0))*(BM23+BN23)/1000.0</f>
        <v>0</v>
      </c>
      <c r="O23">
        <f>2.0/((1/Q23-1/P23)+SIGN(Q23)*SQRT((1/Q23-1/P23)*(1/Q23-1/P23) + 4*BA23/((BA23+1)*(BA23+1))*(2*1/Q23*1/P23-1/P23*1/P23)))</f>
        <v>0</v>
      </c>
      <c r="P23">
        <f>IF(LEFT(BB23,1)&lt;&gt;"0",IF(LEFT(BB23,1)="1",3.0,BC23),$D$5+$E$5*(BT23*BM23/($K$5*1000))+$F$5*(BT23*BM23/($K$5*1000))*MAX(MIN(AZ23,$J$5),$I$5)*MAX(MIN(AZ23,$J$5),$I$5)+$G$5*MAX(MIN(AZ23,$J$5),$I$5)*(BT23*BM23/($K$5*1000))+$H$5*(BT23*BM23/($K$5*1000))*(BT23*BM23/($K$5*1000)))</f>
        <v>0</v>
      </c>
      <c r="Q23">
        <f>H23*(1000-(1000*0.61365*exp(17.502*U23/(240.97+U23))/(BM23+BN23)+BH23)/2)/(1000*0.61365*exp(17.502*U23/(240.97+U23))/(BM23+BN23)-BH23)</f>
        <v>0</v>
      </c>
      <c r="R23">
        <f>1/((BA23+1)/(O23/1.6)+1/(P23/1.37)) + BA23/((BA23+1)/(O23/1.6) + BA23/(P23/1.37))</f>
        <v>0</v>
      </c>
      <c r="S23">
        <f>(AV23*AY23)</f>
        <v>0</v>
      </c>
      <c r="T23">
        <f>(BO23+(S23+2*0.95*5.67E-8*(((BO23+$B$7)+273)^4-(BO23+273)^4)-44100*H23)/(1.84*29.3*P23+8*0.95*5.67E-8*(BO23+273)^3))</f>
        <v>0</v>
      </c>
      <c r="U23">
        <f>($C$7*BP23+$D$7*BQ23+$E$7*T23)</f>
        <v>0</v>
      </c>
      <c r="V23">
        <f>0.61365*exp(17.502*U23/(240.97+U23))</f>
        <v>0</v>
      </c>
      <c r="W23">
        <f>(X23/Y23*100)</f>
        <v>0</v>
      </c>
      <c r="X23">
        <f>BH23*(BM23+BN23)/1000</f>
        <v>0</v>
      </c>
      <c r="Y23">
        <f>0.61365*exp(17.502*BO23/(240.97+BO23))</f>
        <v>0</v>
      </c>
      <c r="Z23">
        <f>(V23-BH23*(BM23+BN23)/1000)</f>
        <v>0</v>
      </c>
      <c r="AA23">
        <f>(-H23*44100)</f>
        <v>0</v>
      </c>
      <c r="AB23">
        <f>2*29.3*P23*0.92*(BO23-U23)</f>
        <v>0</v>
      </c>
      <c r="AC23">
        <f>2*0.95*5.67E-8*(((BO23+$B$7)+273)^4-(U23+273)^4)</f>
        <v>0</v>
      </c>
      <c r="AD23">
        <f>S23+AC23+AA23+AB23</f>
        <v>0</v>
      </c>
      <c r="AE23">
        <f>BL23*AS23*(BG23-BF23*(1000-AS23*BI23)/(1000-AS23*BH23))/(100*AZ23)</f>
        <v>0</v>
      </c>
      <c r="AF23">
        <f>1000*BL23*AS23*(BH23-BI23)/(100*AZ23*(1000-AS23*BH23))</f>
        <v>0</v>
      </c>
      <c r="AG23">
        <f>(AH23 - AI23 - BM23*1E3/(8.314*(BO23+273.15)) * AK23/BL23 * AJ23) * BL23/(100*AZ23) * (1000 - BI23)/1000</f>
        <v>0</v>
      </c>
      <c r="AH23">
        <v>409.9612013556019</v>
      </c>
      <c r="AI23">
        <v>405.3855333333333</v>
      </c>
      <c r="AJ23">
        <v>0.023146955577755</v>
      </c>
      <c r="AK23">
        <v>66.97053591916728</v>
      </c>
      <c r="AL23">
        <f>(AN23 - AM23 + BM23*1E3/(8.314*(BO23+273.15)) * AP23/BL23 * AO23) * BL23/(100*AZ23) * 1000/(1000 - AN23)</f>
        <v>0</v>
      </c>
      <c r="AM23">
        <v>12.53184954908406</v>
      </c>
      <c r="AN23">
        <v>14.57075212121212</v>
      </c>
      <c r="AO23">
        <v>0.04654931937579841</v>
      </c>
      <c r="AP23">
        <v>79.08596782869769</v>
      </c>
      <c r="AQ23">
        <v>74</v>
      </c>
      <c r="AR23">
        <v>9</v>
      </c>
      <c r="AS23">
        <f>IF(AQ23*$H$13&gt;=AU23,1.0,(AU23/(AU23-AQ23*$H$13)))</f>
        <v>0</v>
      </c>
      <c r="AT23">
        <f>(AS23-1)*100</f>
        <v>0</v>
      </c>
      <c r="AU23">
        <f>MAX(0,($B$13+$C$13*BT23)/(1+$D$13*BT23)*BM23/(BO23+273)*$E$13)</f>
        <v>0</v>
      </c>
      <c r="AV23">
        <f>$B$11*BU23+$C$11*BV23+$F$11*CG23*(1-CJ23)</f>
        <v>0</v>
      </c>
      <c r="AW23">
        <f>AV23*AX23</f>
        <v>0</v>
      </c>
      <c r="AX23">
        <f>($B$11*$D$9+$C$11*$D$9+$F$11*((CT23+CL23)/MAX(CT23+CL23+CU23, 0.1)*$I$9+CU23/MAX(CT23+CL23+CU23, 0.1)*$J$9))/($B$11+$C$11+$F$11)</f>
        <v>0</v>
      </c>
      <c r="AY23">
        <f>($B$11*$K$9+$C$11*$K$9+$F$11*((CT23+CL23)/MAX(CT23+CL23+CU23, 0.1)*$P$9+CU23/MAX(CT23+CL23+CU23, 0.1)*$Q$9))/($B$11+$C$11+$F$11)</f>
        <v>0</v>
      </c>
      <c r="AZ23">
        <v>6</v>
      </c>
      <c r="BA23">
        <v>0.5</v>
      </c>
      <c r="BB23" t="s">
        <v>353</v>
      </c>
      <c r="BC23">
        <v>2</v>
      </c>
      <c r="BD23" t="b">
        <v>0</v>
      </c>
      <c r="BE23">
        <v>1750696509.25</v>
      </c>
      <c r="BF23">
        <v>399.2804</v>
      </c>
      <c r="BG23">
        <v>404.7592333333333</v>
      </c>
      <c r="BH23">
        <v>14.26228666666667</v>
      </c>
      <c r="BI23">
        <v>12.12903666666666</v>
      </c>
      <c r="BJ23">
        <v>396.8794</v>
      </c>
      <c r="BK23">
        <v>14.21128666666667</v>
      </c>
      <c r="BL23">
        <v>800.0124</v>
      </c>
      <c r="BM23">
        <v>101.4094666666667</v>
      </c>
      <c r="BN23">
        <v>0.09974177333333333</v>
      </c>
      <c r="BO23">
        <v>23.02537333333334</v>
      </c>
      <c r="BP23">
        <v>22.69993</v>
      </c>
      <c r="BQ23">
        <v>999.9000000000002</v>
      </c>
      <c r="BR23">
        <v>0</v>
      </c>
      <c r="BS23">
        <v>0</v>
      </c>
      <c r="BT23">
        <v>9996.261333333332</v>
      </c>
      <c r="BU23">
        <v>0</v>
      </c>
      <c r="BV23">
        <v>0.00152894</v>
      </c>
      <c r="BW23">
        <v>-5.373197</v>
      </c>
      <c r="BX23">
        <v>405.1639333333333</v>
      </c>
      <c r="BY23">
        <v>409.7288666666666</v>
      </c>
      <c r="BZ23">
        <v>2.131437666666666</v>
      </c>
      <c r="CA23">
        <v>404.7592333333333</v>
      </c>
      <c r="CB23">
        <v>12.12903666666666</v>
      </c>
      <c r="CC23">
        <v>1.446146333333333</v>
      </c>
      <c r="CD23">
        <v>1.229998333333333</v>
      </c>
      <c r="CE23">
        <v>12.4093</v>
      </c>
      <c r="CF23">
        <v>9.963967333333333</v>
      </c>
      <c r="CG23">
        <v>999.9880999999999</v>
      </c>
      <c r="CH23">
        <v>0.9599928333333332</v>
      </c>
      <c r="CI23">
        <v>0.04000716666666668</v>
      </c>
      <c r="CJ23">
        <v>0</v>
      </c>
      <c r="CK23">
        <v>1.682666666666667</v>
      </c>
      <c r="CL23">
        <v>0</v>
      </c>
      <c r="CM23">
        <v>7916.1</v>
      </c>
      <c r="CN23">
        <v>7946.803000000001</v>
      </c>
      <c r="CO23">
        <v>38.56223333333333</v>
      </c>
      <c r="CP23">
        <v>41.88736666666664</v>
      </c>
      <c r="CQ23">
        <v>40.02273333333332</v>
      </c>
      <c r="CR23">
        <v>41.66013333333331</v>
      </c>
      <c r="CS23">
        <v>38.50809999999999</v>
      </c>
      <c r="CT23">
        <v>959.9799999999999</v>
      </c>
      <c r="CU23">
        <v>40.00866666666666</v>
      </c>
      <c r="CV23">
        <v>0</v>
      </c>
      <c r="CW23">
        <v>1750696533.8</v>
      </c>
      <c r="CX23">
        <v>0</v>
      </c>
      <c r="CY23">
        <v>1750696536.5</v>
      </c>
      <c r="CZ23" t="s">
        <v>377</v>
      </c>
      <c r="DA23">
        <v>1750696534</v>
      </c>
      <c r="DB23">
        <v>1750696536.5</v>
      </c>
      <c r="DC23">
        <v>6</v>
      </c>
      <c r="DD23">
        <v>-0.104</v>
      </c>
      <c r="DE23">
        <v>0.039</v>
      </c>
      <c r="DF23">
        <v>2.401</v>
      </c>
      <c r="DG23">
        <v>0.051</v>
      </c>
      <c r="DH23">
        <v>405</v>
      </c>
      <c r="DI23">
        <v>13</v>
      </c>
      <c r="DJ23">
        <v>0.13</v>
      </c>
      <c r="DK23">
        <v>0.04</v>
      </c>
      <c r="DL23">
        <v>-5.424693500000001</v>
      </c>
      <c r="DM23">
        <v>0.9818562101313426</v>
      </c>
      <c r="DN23">
        <v>0.104015685416912</v>
      </c>
      <c r="DO23">
        <v>0</v>
      </c>
      <c r="DP23">
        <v>2.30265</v>
      </c>
      <c r="DQ23">
        <v>-3.450433170731716</v>
      </c>
      <c r="DR23">
        <v>0.3460061233923469</v>
      </c>
      <c r="DS23">
        <v>0</v>
      </c>
      <c r="DT23">
        <v>0</v>
      </c>
      <c r="DU23">
        <v>2</v>
      </c>
      <c r="DV23" t="s">
        <v>372</v>
      </c>
      <c r="DW23">
        <v>3.44714</v>
      </c>
      <c r="DX23">
        <v>2.78065</v>
      </c>
      <c r="DY23">
        <v>0.0971349</v>
      </c>
      <c r="DZ23">
        <v>0.0985227</v>
      </c>
      <c r="EA23">
        <v>0.0843272</v>
      </c>
      <c r="EB23">
        <v>0.0756201</v>
      </c>
      <c r="EC23">
        <v>27343.7</v>
      </c>
      <c r="ED23">
        <v>31063.7</v>
      </c>
      <c r="EE23">
        <v>29406.6</v>
      </c>
      <c r="EF23">
        <v>35034.6</v>
      </c>
      <c r="EG23">
        <v>31131.5</v>
      </c>
      <c r="EH23">
        <v>40214.3</v>
      </c>
      <c r="EI23">
        <v>36190.8</v>
      </c>
      <c r="EJ23">
        <v>46390.7</v>
      </c>
      <c r="EK23">
        <v>2.44912</v>
      </c>
      <c r="EL23">
        <v>2.32603</v>
      </c>
      <c r="EM23">
        <v>0.111319</v>
      </c>
      <c r="EN23">
        <v>0</v>
      </c>
      <c r="EO23">
        <v>20.9943</v>
      </c>
      <c r="EP23">
        <v>999.9</v>
      </c>
      <c r="EQ23">
        <v>69.59999999999999</v>
      </c>
      <c r="ER23">
        <v>21.3</v>
      </c>
      <c r="ES23">
        <v>17.448</v>
      </c>
      <c r="ET23">
        <v>62.0682</v>
      </c>
      <c r="EU23">
        <v>25.7131</v>
      </c>
      <c r="EV23">
        <v>2</v>
      </c>
      <c r="EW23">
        <v>-0.497752</v>
      </c>
      <c r="EX23">
        <v>0</v>
      </c>
      <c r="EY23">
        <v>20.2941</v>
      </c>
      <c r="EZ23">
        <v>5.21654</v>
      </c>
      <c r="FA23">
        <v>11.9682</v>
      </c>
      <c r="FB23">
        <v>4.9918</v>
      </c>
      <c r="FC23">
        <v>3.2719</v>
      </c>
      <c r="FD23">
        <v>2677.7</v>
      </c>
      <c r="FE23">
        <v>9999</v>
      </c>
      <c r="FF23">
        <v>9999</v>
      </c>
      <c r="FG23">
        <v>999.9</v>
      </c>
      <c r="FH23">
        <v>4.97258</v>
      </c>
      <c r="FI23">
        <v>1.86234</v>
      </c>
      <c r="FJ23">
        <v>1.86401</v>
      </c>
      <c r="FK23">
        <v>1.86248</v>
      </c>
      <c r="FL23">
        <v>1.86251</v>
      </c>
      <c r="FM23">
        <v>1.8631</v>
      </c>
      <c r="FN23">
        <v>1.85959</v>
      </c>
      <c r="FO23">
        <v>1.86247</v>
      </c>
      <c r="FP23">
        <v>0</v>
      </c>
      <c r="FQ23">
        <v>0</v>
      </c>
      <c r="FR23">
        <v>0</v>
      </c>
      <c r="FS23">
        <v>0</v>
      </c>
      <c r="FT23" t="s">
        <v>356</v>
      </c>
      <c r="FU23" t="s">
        <v>357</v>
      </c>
      <c r="FV23" t="s">
        <v>358</v>
      </c>
      <c r="FW23" t="s">
        <v>358</v>
      </c>
      <c r="FX23" t="s">
        <v>358</v>
      </c>
      <c r="FY23" t="s">
        <v>358</v>
      </c>
      <c r="FZ23">
        <v>0</v>
      </c>
      <c r="GA23">
        <v>100</v>
      </c>
      <c r="GB23">
        <v>100</v>
      </c>
      <c r="GC23">
        <v>2.401</v>
      </c>
      <c r="GD23">
        <v>0.051</v>
      </c>
      <c r="GE23">
        <v>2.787340439239117</v>
      </c>
      <c r="GF23">
        <v>-0.001033730503750798</v>
      </c>
      <c r="GG23">
        <v>9.120241388950126E-07</v>
      </c>
      <c r="GH23">
        <v>-2.246115299815222E-10</v>
      </c>
      <c r="GI23">
        <v>-0.06064080824595411</v>
      </c>
      <c r="GJ23">
        <v>-0.01814858093373864</v>
      </c>
      <c r="GK23">
        <v>0.002091959988359369</v>
      </c>
      <c r="GL23">
        <v>-1.90871700788604E-05</v>
      </c>
      <c r="GM23">
        <v>2</v>
      </c>
      <c r="GN23">
        <v>2210</v>
      </c>
      <c r="GO23">
        <v>1</v>
      </c>
      <c r="GP23">
        <v>26</v>
      </c>
      <c r="GQ23">
        <v>8.9</v>
      </c>
      <c r="GR23">
        <v>13.8</v>
      </c>
      <c r="GS23">
        <v>1.25488</v>
      </c>
      <c r="GT23">
        <v>2.34375</v>
      </c>
      <c r="GU23">
        <v>2.34741</v>
      </c>
      <c r="GV23">
        <v>2.78076</v>
      </c>
      <c r="GW23">
        <v>2.39868</v>
      </c>
      <c r="GX23">
        <v>2.26318</v>
      </c>
      <c r="GY23">
        <v>27.2869</v>
      </c>
      <c r="GZ23">
        <v>14.1933</v>
      </c>
      <c r="HA23">
        <v>18</v>
      </c>
      <c r="HB23">
        <v>713.5410000000001</v>
      </c>
      <c r="HC23">
        <v>679.318</v>
      </c>
      <c r="HD23">
        <v>21.9472</v>
      </c>
      <c r="HE23">
        <v>20.8583</v>
      </c>
      <c r="HF23">
        <v>30</v>
      </c>
      <c r="HG23">
        <v>20.7035</v>
      </c>
      <c r="HH23">
        <v>20.657</v>
      </c>
      <c r="HI23">
        <v>25.1749</v>
      </c>
      <c r="HJ23">
        <v>28.3378</v>
      </c>
      <c r="HK23">
        <v>70.41419999999999</v>
      </c>
      <c r="HL23">
        <v>-999.9</v>
      </c>
      <c r="HM23">
        <v>405</v>
      </c>
      <c r="HN23">
        <v>13.0503</v>
      </c>
      <c r="HO23">
        <v>100.952</v>
      </c>
      <c r="HP23">
        <v>101.28</v>
      </c>
    </row>
    <row r="24" spans="1:224">
      <c r="A24">
        <v>8</v>
      </c>
      <c r="B24">
        <v>1750697098</v>
      </c>
      <c r="C24">
        <v>2234.900000095367</v>
      </c>
      <c r="D24" t="s">
        <v>378</v>
      </c>
      <c r="E24" t="s">
        <v>379</v>
      </c>
      <c r="F24">
        <v>15</v>
      </c>
      <c r="G24">
        <v>1750697090</v>
      </c>
      <c r="H24">
        <f>(I24)/1000</f>
        <v>0</v>
      </c>
      <c r="I24">
        <f>IF(BD24, AL24, AF24)</f>
        <v>0</v>
      </c>
      <c r="J24">
        <f>IF(BD24, AG24, AE24)</f>
        <v>0</v>
      </c>
      <c r="K24">
        <f>BF24 - IF(AS24&gt;1, J24*AZ24*100.0/(AU24), 0)</f>
        <v>0</v>
      </c>
      <c r="L24">
        <f>((R24-H24/2)*K24-J24)/(R24+H24/2)</f>
        <v>0</v>
      </c>
      <c r="M24">
        <f>L24*(BM24+BN24)/1000.0</f>
        <v>0</v>
      </c>
      <c r="N24">
        <f>(BF24 - IF(AS24&gt;1, J24*AZ24*100.0/(AU24), 0))*(BM24+BN24)/1000.0</f>
        <v>0</v>
      </c>
      <c r="O24">
        <f>2.0/((1/Q24-1/P24)+SIGN(Q24)*SQRT((1/Q24-1/P24)*(1/Q24-1/P24) + 4*BA24/((BA24+1)*(BA24+1))*(2*1/Q24*1/P24-1/P24*1/P24)))</f>
        <v>0</v>
      </c>
      <c r="P24">
        <f>IF(LEFT(BB24,1)&lt;&gt;"0",IF(LEFT(BB24,1)="1",3.0,BC24),$D$5+$E$5*(BT24*BM24/($K$5*1000))+$F$5*(BT24*BM24/($K$5*1000))*MAX(MIN(AZ24,$J$5),$I$5)*MAX(MIN(AZ24,$J$5),$I$5)+$G$5*MAX(MIN(AZ24,$J$5),$I$5)*(BT24*BM24/($K$5*1000))+$H$5*(BT24*BM24/($K$5*1000))*(BT24*BM24/($K$5*1000)))</f>
        <v>0</v>
      </c>
      <c r="Q24">
        <f>H24*(1000-(1000*0.61365*exp(17.502*U24/(240.97+U24))/(BM24+BN24)+BH24)/2)/(1000*0.61365*exp(17.502*U24/(240.97+U24))/(BM24+BN24)-BH24)</f>
        <v>0</v>
      </c>
      <c r="R24">
        <f>1/((BA24+1)/(O24/1.6)+1/(P24/1.37)) + BA24/((BA24+1)/(O24/1.6) + BA24/(P24/1.37))</f>
        <v>0</v>
      </c>
      <c r="S24">
        <f>(AV24*AY24)</f>
        <v>0</v>
      </c>
      <c r="T24">
        <f>(BO24+(S24+2*0.95*5.67E-8*(((BO24+$B$7)+273)^4-(BO24+273)^4)-44100*H24)/(1.84*29.3*P24+8*0.95*5.67E-8*(BO24+273)^3))</f>
        <v>0</v>
      </c>
      <c r="U24">
        <f>($C$7*BP24+$D$7*BQ24+$E$7*T24)</f>
        <v>0</v>
      </c>
      <c r="V24">
        <f>0.61365*exp(17.502*U24/(240.97+U24))</f>
        <v>0</v>
      </c>
      <c r="W24">
        <f>(X24/Y24*100)</f>
        <v>0</v>
      </c>
      <c r="X24">
        <f>BH24*(BM24+BN24)/1000</f>
        <v>0</v>
      </c>
      <c r="Y24">
        <f>0.61365*exp(17.502*BO24/(240.97+BO24))</f>
        <v>0</v>
      </c>
      <c r="Z24">
        <f>(V24-BH24*(BM24+BN24)/1000)</f>
        <v>0</v>
      </c>
      <c r="AA24">
        <f>(-H24*44100)</f>
        <v>0</v>
      </c>
      <c r="AB24">
        <f>2*29.3*P24*0.92*(BO24-U24)</f>
        <v>0</v>
      </c>
      <c r="AC24">
        <f>2*0.95*5.67E-8*(((BO24+$B$7)+273)^4-(U24+273)^4)</f>
        <v>0</v>
      </c>
      <c r="AD24">
        <f>S24+AC24+AA24+AB24</f>
        <v>0</v>
      </c>
      <c r="AE24">
        <f>BL24*AS24*(BG24-BF24*(1000-AS24*BI24)/(1000-AS24*BH24))/(100*AZ24)</f>
        <v>0</v>
      </c>
      <c r="AF24">
        <f>1000*BL24*AS24*(BH24-BI24)/(100*AZ24*(1000-AS24*BH24))</f>
        <v>0</v>
      </c>
      <c r="AG24">
        <f>(AH24 - AI24 - BM24*1E3/(8.314*(BO24+273.15)) * AK24/BL24 * AJ24) * BL24/(100*AZ24) * (1000 - BI24)/1000</f>
        <v>0</v>
      </c>
      <c r="AH24">
        <v>411.3853816021846</v>
      </c>
      <c r="AI24">
        <v>432.8175757575756</v>
      </c>
      <c r="AJ24">
        <v>0.014071307870466</v>
      </c>
      <c r="AK24">
        <v>66.95934195278853</v>
      </c>
      <c r="AL24">
        <f>(AN24 - AM24 + BM24*1E3/(8.314*(BO24+273.15)) * AP24/BL24 * AO24) * BL24/(100*AZ24) * 1000/(1000 - AN24)</f>
        <v>0</v>
      </c>
      <c r="AM24">
        <v>15.60395402795089</v>
      </c>
      <c r="AN24">
        <v>14.92762848484848</v>
      </c>
      <c r="AO24">
        <v>-1.207977248809678E-05</v>
      </c>
      <c r="AP24">
        <v>79.0980118738552</v>
      </c>
      <c r="AQ24">
        <v>801</v>
      </c>
      <c r="AR24">
        <v>100</v>
      </c>
      <c r="AS24">
        <f>IF(AQ24*$H$13&gt;=AU24,1.0,(AU24/(AU24-AQ24*$H$13)))</f>
        <v>0</v>
      </c>
      <c r="AT24">
        <f>(AS24-1)*100</f>
        <v>0</v>
      </c>
      <c r="AU24">
        <f>MAX(0,($B$13+$C$13*BT24)/(1+$D$13*BT24)*BM24/(BO24+273)*$E$13)</f>
        <v>0</v>
      </c>
      <c r="AV24">
        <f>$B$11*BU24+$C$11*BV24+$F$11*CG24*(1-CJ24)</f>
        <v>0</v>
      </c>
      <c r="AW24">
        <f>AV24*AX24</f>
        <v>0</v>
      </c>
      <c r="AX24">
        <f>($B$11*$D$9+$C$11*$D$9+$F$11*((CT24+CL24)/MAX(CT24+CL24+CU24, 0.1)*$I$9+CU24/MAX(CT24+CL24+CU24, 0.1)*$J$9))/($B$11+$C$11+$F$11)</f>
        <v>0</v>
      </c>
      <c r="AY24">
        <f>($B$11*$K$9+$C$11*$K$9+$F$11*((CT24+CL24)/MAX(CT24+CL24+CU24, 0.1)*$P$9+CU24/MAX(CT24+CL24+CU24, 0.1)*$Q$9))/($B$11+$C$11+$F$11)</f>
        <v>0</v>
      </c>
      <c r="AZ24">
        <v>6</v>
      </c>
      <c r="BA24">
        <v>0.5</v>
      </c>
      <c r="BB24" t="s">
        <v>353</v>
      </c>
      <c r="BC24">
        <v>2</v>
      </c>
      <c r="BD24" t="b">
        <v>0</v>
      </c>
      <c r="BE24">
        <v>1750697090</v>
      </c>
      <c r="BF24">
        <v>426.352</v>
      </c>
      <c r="BG24">
        <v>404.9921290322581</v>
      </c>
      <c r="BH24">
        <v>14.96849032258064</v>
      </c>
      <c r="BI24">
        <v>15.59408709677419</v>
      </c>
      <c r="BJ24">
        <v>423.9599032258065</v>
      </c>
      <c r="BK24">
        <v>14.82349032258064</v>
      </c>
      <c r="BL24">
        <v>799.9373225806451</v>
      </c>
      <c r="BM24">
        <v>101.4201935483871</v>
      </c>
      <c r="BN24">
        <v>0.09712561612903226</v>
      </c>
      <c r="BO24">
        <v>23.57291290322581</v>
      </c>
      <c r="BP24">
        <v>23.34133548387097</v>
      </c>
      <c r="BQ24">
        <v>999.9000000000003</v>
      </c>
      <c r="BR24">
        <v>0</v>
      </c>
      <c r="BS24">
        <v>0</v>
      </c>
      <c r="BT24">
        <v>9992.660645161292</v>
      </c>
      <c r="BU24">
        <v>0</v>
      </c>
      <c r="BV24">
        <v>0.00152894</v>
      </c>
      <c r="BW24">
        <v>21.35989677419355</v>
      </c>
      <c r="BX24">
        <v>432.8139677419355</v>
      </c>
      <c r="BY24">
        <v>411.4076129032259</v>
      </c>
      <c r="BZ24">
        <v>-0.6639837096774194</v>
      </c>
      <c r="CA24">
        <v>404.9921290322581</v>
      </c>
      <c r="CB24">
        <v>15.59408709677419</v>
      </c>
      <c r="CC24">
        <v>1.514213225806451</v>
      </c>
      <c r="CD24">
        <v>1.581555806451613</v>
      </c>
      <c r="CE24">
        <v>13.11244838709677</v>
      </c>
      <c r="CF24">
        <v>13.78025483870968</v>
      </c>
      <c r="CG24">
        <v>1000.002741935484</v>
      </c>
      <c r="CH24">
        <v>0.9599874193548391</v>
      </c>
      <c r="CI24">
        <v>0.04001247741935484</v>
      </c>
      <c r="CJ24">
        <v>0</v>
      </c>
      <c r="CK24">
        <v>2.614032258064515</v>
      </c>
      <c r="CL24">
        <v>0</v>
      </c>
      <c r="CM24">
        <v>6663.220967741937</v>
      </c>
      <c r="CN24">
        <v>7946.894516129033</v>
      </c>
      <c r="CO24">
        <v>36.43522580645161</v>
      </c>
      <c r="CP24">
        <v>38.71141935483869</v>
      </c>
      <c r="CQ24">
        <v>37.82235483870967</v>
      </c>
      <c r="CR24">
        <v>37.77593548387095</v>
      </c>
      <c r="CS24">
        <v>36.55616129032257</v>
      </c>
      <c r="CT24">
        <v>959.9916129032258</v>
      </c>
      <c r="CU24">
        <v>40.01096774193548</v>
      </c>
      <c r="CV24">
        <v>0</v>
      </c>
      <c r="CW24">
        <v>1750697114.6</v>
      </c>
      <c r="CX24">
        <v>0</v>
      </c>
      <c r="CY24">
        <v>1750697115.5</v>
      </c>
      <c r="CZ24" t="s">
        <v>380</v>
      </c>
      <c r="DA24">
        <v>1750696534</v>
      </c>
      <c r="DB24">
        <v>1750697115.5</v>
      </c>
      <c r="DC24">
        <v>7</v>
      </c>
      <c r="DD24">
        <v>-0.104</v>
      </c>
      <c r="DE24">
        <v>0.017</v>
      </c>
      <c r="DF24">
        <v>2.401</v>
      </c>
      <c r="DG24">
        <v>0.145</v>
      </c>
      <c r="DH24">
        <v>405</v>
      </c>
      <c r="DI24">
        <v>16</v>
      </c>
      <c r="DJ24">
        <v>0.13</v>
      </c>
      <c r="DK24">
        <v>0.15</v>
      </c>
      <c r="DL24">
        <v>21.36395</v>
      </c>
      <c r="DM24">
        <v>-0.07600750469045192</v>
      </c>
      <c r="DN24">
        <v>0.02443328672119232</v>
      </c>
      <c r="DO24">
        <v>1</v>
      </c>
      <c r="DP24">
        <v>-0.659565525</v>
      </c>
      <c r="DQ24">
        <v>-0.1235778123827386</v>
      </c>
      <c r="DR24">
        <v>0.01192051527826608</v>
      </c>
      <c r="DS24">
        <v>0</v>
      </c>
      <c r="DT24">
        <v>1</v>
      </c>
      <c r="DU24">
        <v>2</v>
      </c>
      <c r="DV24" t="s">
        <v>355</v>
      </c>
      <c r="DW24">
        <v>3.44852</v>
      </c>
      <c r="DX24">
        <v>2.77896</v>
      </c>
      <c r="DY24">
        <v>0.101969</v>
      </c>
      <c r="DZ24">
        <v>0.0984985</v>
      </c>
      <c r="EA24">
        <v>0.0854664</v>
      </c>
      <c r="EB24">
        <v>0.0880614</v>
      </c>
      <c r="EC24">
        <v>27181.6</v>
      </c>
      <c r="ED24">
        <v>31049.2</v>
      </c>
      <c r="EE24">
        <v>29390.4</v>
      </c>
      <c r="EF24">
        <v>35018.7</v>
      </c>
      <c r="EG24">
        <v>31076</v>
      </c>
      <c r="EH24">
        <v>39653.9</v>
      </c>
      <c r="EI24">
        <v>36171.4</v>
      </c>
      <c r="EJ24">
        <v>46370</v>
      </c>
      <c r="EK24">
        <v>0.292</v>
      </c>
      <c r="EL24">
        <v>2.32</v>
      </c>
      <c r="EM24">
        <v>0.105962</v>
      </c>
      <c r="EN24">
        <v>0</v>
      </c>
      <c r="EO24">
        <v>21.6001</v>
      </c>
      <c r="EP24">
        <v>999.9</v>
      </c>
      <c r="EQ24">
        <v>68.09999999999999</v>
      </c>
      <c r="ER24">
        <v>22.3</v>
      </c>
      <c r="ES24">
        <v>18.1456</v>
      </c>
      <c r="ET24">
        <v>61.8682</v>
      </c>
      <c r="EU24">
        <v>25.7612</v>
      </c>
      <c r="EV24">
        <v>2</v>
      </c>
      <c r="EW24">
        <v>-0.472973</v>
      </c>
      <c r="EX24">
        <v>0</v>
      </c>
      <c r="EY24">
        <v>20.2927</v>
      </c>
      <c r="EZ24">
        <v>5.21504</v>
      </c>
      <c r="FA24">
        <v>11.9682</v>
      </c>
      <c r="FB24">
        <v>4.9925</v>
      </c>
      <c r="FC24">
        <v>3.27195</v>
      </c>
      <c r="FD24">
        <v>2694.4</v>
      </c>
      <c r="FE24">
        <v>9999</v>
      </c>
      <c r="FF24">
        <v>9999</v>
      </c>
      <c r="FG24">
        <v>999.9</v>
      </c>
      <c r="FH24">
        <v>4.97261</v>
      </c>
      <c r="FI24">
        <v>1.86244</v>
      </c>
      <c r="FJ24">
        <v>1.86417</v>
      </c>
      <c r="FK24">
        <v>1.86256</v>
      </c>
      <c r="FL24">
        <v>1.86263</v>
      </c>
      <c r="FM24">
        <v>1.86322</v>
      </c>
      <c r="FN24">
        <v>1.85972</v>
      </c>
      <c r="FO24">
        <v>1.86249</v>
      </c>
      <c r="FP24">
        <v>0</v>
      </c>
      <c r="FQ24">
        <v>0</v>
      </c>
      <c r="FR24">
        <v>0</v>
      </c>
      <c r="FS24">
        <v>0</v>
      </c>
      <c r="FT24" t="s">
        <v>356</v>
      </c>
      <c r="FU24" t="s">
        <v>357</v>
      </c>
      <c r="FV24" t="s">
        <v>358</v>
      </c>
      <c r="FW24" t="s">
        <v>358</v>
      </c>
      <c r="FX24" t="s">
        <v>358</v>
      </c>
      <c r="FY24" t="s">
        <v>358</v>
      </c>
      <c r="FZ24">
        <v>0</v>
      </c>
      <c r="GA24">
        <v>100</v>
      </c>
      <c r="GB24">
        <v>100</v>
      </c>
      <c r="GC24">
        <v>2.392</v>
      </c>
      <c r="GD24">
        <v>0.145</v>
      </c>
      <c r="GE24">
        <v>2.683567294668623</v>
      </c>
      <c r="GF24">
        <v>-0.001033730503750798</v>
      </c>
      <c r="GG24">
        <v>9.120241388950126E-07</v>
      </c>
      <c r="GH24">
        <v>-2.246115299815222E-10</v>
      </c>
      <c r="GI24">
        <v>-0.02186202396573594</v>
      </c>
      <c r="GJ24">
        <v>-0.01814858093373864</v>
      </c>
      <c r="GK24">
        <v>0.002091959988359369</v>
      </c>
      <c r="GL24">
        <v>-1.90871700788604E-05</v>
      </c>
      <c r="GM24">
        <v>2</v>
      </c>
      <c r="GN24">
        <v>2210</v>
      </c>
      <c r="GO24">
        <v>1</v>
      </c>
      <c r="GP24">
        <v>26</v>
      </c>
      <c r="GQ24">
        <v>9.4</v>
      </c>
      <c r="GR24">
        <v>9.4</v>
      </c>
      <c r="GS24">
        <v>1.25977</v>
      </c>
      <c r="GT24">
        <v>2.35718</v>
      </c>
      <c r="GU24">
        <v>2.34741</v>
      </c>
      <c r="GV24">
        <v>2.77222</v>
      </c>
      <c r="GW24">
        <v>2.39868</v>
      </c>
      <c r="GX24">
        <v>2.2522</v>
      </c>
      <c r="GY24">
        <v>28.0384</v>
      </c>
      <c r="GZ24">
        <v>14.1145</v>
      </c>
      <c r="HA24">
        <v>18</v>
      </c>
      <c r="HB24">
        <v>-1.49203</v>
      </c>
      <c r="HC24">
        <v>678.718</v>
      </c>
      <c r="HD24">
        <v>22.474</v>
      </c>
      <c r="HE24">
        <v>21.2098</v>
      </c>
      <c r="HF24">
        <v>30.0005</v>
      </c>
      <c r="HG24">
        <v>21.2381</v>
      </c>
      <c r="HH24">
        <v>20.975</v>
      </c>
      <c r="HI24">
        <v>25.2695</v>
      </c>
      <c r="HJ24">
        <v>18.7054</v>
      </c>
      <c r="HK24">
        <v>69.6879</v>
      </c>
      <c r="HL24">
        <v>-999.9</v>
      </c>
      <c r="HM24">
        <v>405</v>
      </c>
      <c r="HN24">
        <v>15.5543</v>
      </c>
      <c r="HO24">
        <v>100.898</v>
      </c>
      <c r="HP24">
        <v>101.234</v>
      </c>
    </row>
    <row r="25" spans="1:224">
      <c r="A25">
        <v>9</v>
      </c>
      <c r="B25">
        <v>1750697256.5</v>
      </c>
      <c r="C25">
        <v>2393.400000095367</v>
      </c>
      <c r="D25" t="s">
        <v>381</v>
      </c>
      <c r="E25" t="s">
        <v>382</v>
      </c>
      <c r="F25">
        <v>15</v>
      </c>
      <c r="G25">
        <v>1750697248.5</v>
      </c>
      <c r="H25">
        <f>(I25)/1000</f>
        <v>0</v>
      </c>
      <c r="I25">
        <f>IF(BD25, AL25, AF25)</f>
        <v>0</v>
      </c>
      <c r="J25">
        <f>IF(BD25, AG25, AE25)</f>
        <v>0</v>
      </c>
      <c r="K25">
        <f>BF25 - IF(AS25&gt;1, J25*AZ25*100.0/(AU25), 0)</f>
        <v>0</v>
      </c>
      <c r="L25">
        <f>((R25-H25/2)*K25-J25)/(R25+H25/2)</f>
        <v>0</v>
      </c>
      <c r="M25">
        <f>L25*(BM25+BN25)/1000.0</f>
        <v>0</v>
      </c>
      <c r="N25">
        <f>(BF25 - IF(AS25&gt;1, J25*AZ25*100.0/(AU25), 0))*(BM25+BN25)/1000.0</f>
        <v>0</v>
      </c>
      <c r="O25">
        <f>2.0/((1/Q25-1/P25)+SIGN(Q25)*SQRT((1/Q25-1/P25)*(1/Q25-1/P25) + 4*BA25/((BA25+1)*(BA25+1))*(2*1/Q25*1/P25-1/P25*1/P25)))</f>
        <v>0</v>
      </c>
      <c r="P25">
        <f>IF(LEFT(BB25,1)&lt;&gt;"0",IF(LEFT(BB25,1)="1",3.0,BC25),$D$5+$E$5*(BT25*BM25/($K$5*1000))+$F$5*(BT25*BM25/($K$5*1000))*MAX(MIN(AZ25,$J$5),$I$5)*MAX(MIN(AZ25,$J$5),$I$5)+$G$5*MAX(MIN(AZ25,$J$5),$I$5)*(BT25*BM25/($K$5*1000))+$H$5*(BT25*BM25/($K$5*1000))*(BT25*BM25/($K$5*1000)))</f>
        <v>0</v>
      </c>
      <c r="Q25">
        <f>H25*(1000-(1000*0.61365*exp(17.502*U25/(240.97+U25))/(BM25+BN25)+BH25)/2)/(1000*0.61365*exp(17.502*U25/(240.97+U25))/(BM25+BN25)-BH25)</f>
        <v>0</v>
      </c>
      <c r="R25">
        <f>1/((BA25+1)/(O25/1.6)+1/(P25/1.37)) + BA25/((BA25+1)/(O25/1.6) + BA25/(P25/1.37))</f>
        <v>0</v>
      </c>
      <c r="S25">
        <f>(AV25*AY25)</f>
        <v>0</v>
      </c>
      <c r="T25">
        <f>(BO25+(S25+2*0.95*5.67E-8*(((BO25+$B$7)+273)^4-(BO25+273)^4)-44100*H25)/(1.84*29.3*P25+8*0.95*5.67E-8*(BO25+273)^3))</f>
        <v>0</v>
      </c>
      <c r="U25">
        <f>($C$7*BP25+$D$7*BQ25+$E$7*T25)</f>
        <v>0</v>
      </c>
      <c r="V25">
        <f>0.61365*exp(17.502*U25/(240.97+U25))</f>
        <v>0</v>
      </c>
      <c r="W25">
        <f>(X25/Y25*100)</f>
        <v>0</v>
      </c>
      <c r="X25">
        <f>BH25*(BM25+BN25)/1000</f>
        <v>0</v>
      </c>
      <c r="Y25">
        <f>0.61365*exp(17.502*BO25/(240.97+BO25))</f>
        <v>0</v>
      </c>
      <c r="Z25">
        <f>(V25-BH25*(BM25+BN25)/1000)</f>
        <v>0</v>
      </c>
      <c r="AA25">
        <f>(-H25*44100)</f>
        <v>0</v>
      </c>
      <c r="AB25">
        <f>2*29.3*P25*0.92*(BO25-U25)</f>
        <v>0</v>
      </c>
      <c r="AC25">
        <f>2*0.95*5.67E-8*(((BO25+$B$7)+273)^4-(U25+273)^4)</f>
        <v>0</v>
      </c>
      <c r="AD25">
        <f>S25+AC25+AA25+AB25</f>
        <v>0</v>
      </c>
      <c r="AE25">
        <f>BL25*AS25*(BG25-BF25*(1000-AS25*BI25)/(1000-AS25*BH25))/(100*AZ25)</f>
        <v>0</v>
      </c>
      <c r="AF25">
        <f>1000*BL25*AS25*(BH25-BI25)/(100*AZ25*(1000-AS25*BH25))</f>
        <v>0</v>
      </c>
      <c r="AG25">
        <f>(AH25 - AI25 - BM25*1E3/(8.314*(BO25+273.15)) * AK25/BL25 * AJ25) * BL25/(100*AZ25) * (1000 - BI25)/1000</f>
        <v>0</v>
      </c>
      <c r="AH25">
        <v>408.8901132438406</v>
      </c>
      <c r="AI25">
        <v>403.9280969696972</v>
      </c>
      <c r="AJ25">
        <v>0.000611117151978461</v>
      </c>
      <c r="AK25">
        <v>66.96420259605325</v>
      </c>
      <c r="AL25">
        <f>(AN25 - AM25 + BM25*1E3/(8.314*(BO25+273.15)) * AP25/BL25 * AO25) * BL25/(100*AZ25) * 1000/(1000 - AN25)</f>
        <v>0</v>
      </c>
      <c r="AM25">
        <v>9.598123452323842</v>
      </c>
      <c r="AN25">
        <v>15.44476181818182</v>
      </c>
      <c r="AO25">
        <v>-0.0008599603760503505</v>
      </c>
      <c r="AP25">
        <v>79.13006749721551</v>
      </c>
      <c r="AQ25">
        <v>88</v>
      </c>
      <c r="AR25">
        <v>11</v>
      </c>
      <c r="AS25">
        <f>IF(AQ25*$H$13&gt;=AU25,1.0,(AU25/(AU25-AQ25*$H$13)))</f>
        <v>0</v>
      </c>
      <c r="AT25">
        <f>(AS25-1)*100</f>
        <v>0</v>
      </c>
      <c r="AU25">
        <f>MAX(0,($B$13+$C$13*BT25)/(1+$D$13*BT25)*BM25/(BO25+273)*$E$13)</f>
        <v>0</v>
      </c>
      <c r="AV25">
        <f>$B$11*BU25+$C$11*BV25+$F$11*CG25*(1-CJ25)</f>
        <v>0</v>
      </c>
      <c r="AW25">
        <f>AV25*AX25</f>
        <v>0</v>
      </c>
      <c r="AX25">
        <f>($B$11*$D$9+$C$11*$D$9+$F$11*((CT25+CL25)/MAX(CT25+CL25+CU25, 0.1)*$I$9+CU25/MAX(CT25+CL25+CU25, 0.1)*$J$9))/($B$11+$C$11+$F$11)</f>
        <v>0</v>
      </c>
      <c r="AY25">
        <f>($B$11*$K$9+$C$11*$K$9+$F$11*((CT25+CL25)/MAX(CT25+CL25+CU25, 0.1)*$P$9+CU25/MAX(CT25+CL25+CU25, 0.1)*$Q$9))/($B$11+$C$11+$F$11)</f>
        <v>0</v>
      </c>
      <c r="AZ25">
        <v>6</v>
      </c>
      <c r="BA25">
        <v>0.5</v>
      </c>
      <c r="BB25" t="s">
        <v>353</v>
      </c>
      <c r="BC25">
        <v>2</v>
      </c>
      <c r="BD25" t="b">
        <v>0</v>
      </c>
      <c r="BE25">
        <v>1750697248.5</v>
      </c>
      <c r="BF25">
        <v>397.675612903226</v>
      </c>
      <c r="BG25">
        <v>404.9891290322581</v>
      </c>
      <c r="BH25">
        <v>15.47206774193549</v>
      </c>
      <c r="BI25">
        <v>9.56075064516129</v>
      </c>
      <c r="BJ25">
        <v>395.295612903226</v>
      </c>
      <c r="BK25">
        <v>15.33211290322581</v>
      </c>
      <c r="BL25">
        <v>800.0152258064514</v>
      </c>
      <c r="BM25">
        <v>101.4235161290322</v>
      </c>
      <c r="BN25">
        <v>0.1001760161290322</v>
      </c>
      <c r="BO25">
        <v>23.34153870967742</v>
      </c>
      <c r="BP25">
        <v>23.05369677419355</v>
      </c>
      <c r="BQ25">
        <v>999.9000000000003</v>
      </c>
      <c r="BR25">
        <v>0</v>
      </c>
      <c r="BS25">
        <v>0</v>
      </c>
      <c r="BT25">
        <v>10001.12322580645</v>
      </c>
      <c r="BU25">
        <v>0</v>
      </c>
      <c r="BV25">
        <v>0.00152894</v>
      </c>
      <c r="BW25">
        <v>-7.290006129032259</v>
      </c>
      <c r="BX25">
        <v>403.9490322580646</v>
      </c>
      <c r="BY25">
        <v>408.8985806451614</v>
      </c>
      <c r="BZ25">
        <v>5.911322580645161</v>
      </c>
      <c r="CA25">
        <v>404.9891290322581</v>
      </c>
      <c r="CB25">
        <v>9.56075064516129</v>
      </c>
      <c r="CC25">
        <v>1.569231612903226</v>
      </c>
      <c r="CD25">
        <v>0.9696846774193549</v>
      </c>
      <c r="CE25">
        <v>13.65993225806452</v>
      </c>
      <c r="CF25">
        <v>6.468615806451614</v>
      </c>
      <c r="CG25">
        <v>999.9793548387098</v>
      </c>
      <c r="CH25">
        <v>0.9600153870967745</v>
      </c>
      <c r="CI25">
        <v>0.03998493225806451</v>
      </c>
      <c r="CJ25">
        <v>0</v>
      </c>
      <c r="CK25">
        <v>3.75758064516129</v>
      </c>
      <c r="CL25">
        <v>0</v>
      </c>
      <c r="CM25">
        <v>5964.943225806453</v>
      </c>
      <c r="CN25">
        <v>7946.802258064516</v>
      </c>
      <c r="CO25">
        <v>36.87670967741934</v>
      </c>
      <c r="CP25">
        <v>40.25977419354837</v>
      </c>
      <c r="CQ25">
        <v>38.35258064516128</v>
      </c>
      <c r="CR25">
        <v>39.3324193548387</v>
      </c>
      <c r="CS25">
        <v>36.98558064516128</v>
      </c>
      <c r="CT25">
        <v>959.9967741935483</v>
      </c>
      <c r="CU25">
        <v>39.98258064516129</v>
      </c>
      <c r="CV25">
        <v>0</v>
      </c>
      <c r="CW25">
        <v>1750697273</v>
      </c>
      <c r="CX25">
        <v>0</v>
      </c>
      <c r="CY25">
        <v>1750697275.5</v>
      </c>
      <c r="CZ25" t="s">
        <v>383</v>
      </c>
      <c r="DA25">
        <v>1750697275.5</v>
      </c>
      <c r="DB25">
        <v>1750697115.5</v>
      </c>
      <c r="DC25">
        <v>8</v>
      </c>
      <c r="DD25">
        <v>-0.021</v>
      </c>
      <c r="DE25">
        <v>0.017</v>
      </c>
      <c r="DF25">
        <v>2.38</v>
      </c>
      <c r="DG25">
        <v>0.145</v>
      </c>
      <c r="DH25">
        <v>405</v>
      </c>
      <c r="DI25">
        <v>16</v>
      </c>
      <c r="DJ25">
        <v>0.23</v>
      </c>
      <c r="DK25">
        <v>0.15</v>
      </c>
      <c r="DL25">
        <v>-7.28122268292683</v>
      </c>
      <c r="DM25">
        <v>-0.1688228571428351</v>
      </c>
      <c r="DN25">
        <v>0.03044244509781715</v>
      </c>
      <c r="DO25">
        <v>0</v>
      </c>
      <c r="DP25">
        <v>5.939358048780488</v>
      </c>
      <c r="DQ25">
        <v>-0.4852852264808306</v>
      </c>
      <c r="DR25">
        <v>0.04899910463191472</v>
      </c>
      <c r="DS25">
        <v>0</v>
      </c>
      <c r="DT25">
        <v>0</v>
      </c>
      <c r="DU25">
        <v>2</v>
      </c>
      <c r="DV25" t="s">
        <v>372</v>
      </c>
      <c r="DW25">
        <v>3.44557</v>
      </c>
      <c r="DX25">
        <v>2.78054</v>
      </c>
      <c r="DY25">
        <v>0.0967152</v>
      </c>
      <c r="DZ25">
        <v>0.0984129</v>
      </c>
      <c r="EA25">
        <v>0.087543</v>
      </c>
      <c r="EB25">
        <v>0.0614292</v>
      </c>
      <c r="EC25">
        <v>27335.2</v>
      </c>
      <c r="ED25">
        <v>31047.5</v>
      </c>
      <c r="EE25">
        <v>29385.4</v>
      </c>
      <c r="EF25">
        <v>35014.5</v>
      </c>
      <c r="EG25">
        <v>30999</v>
      </c>
      <c r="EH25">
        <v>40813.1</v>
      </c>
      <c r="EI25">
        <v>36165.3</v>
      </c>
      <c r="EJ25">
        <v>46365.8</v>
      </c>
      <c r="EK25">
        <v>2.42022</v>
      </c>
      <c r="EL25">
        <v>2.30172</v>
      </c>
      <c r="EM25">
        <v>0.0900514</v>
      </c>
      <c r="EN25">
        <v>0</v>
      </c>
      <c r="EO25">
        <v>21.5893</v>
      </c>
      <c r="EP25">
        <v>999.9</v>
      </c>
      <c r="EQ25">
        <v>67.59999999999999</v>
      </c>
      <c r="ER25">
        <v>22.5</v>
      </c>
      <c r="ES25">
        <v>18.2317</v>
      </c>
      <c r="ET25">
        <v>61.9382</v>
      </c>
      <c r="EU25">
        <v>26.1538</v>
      </c>
      <c r="EV25">
        <v>2</v>
      </c>
      <c r="EW25">
        <v>-0.464299</v>
      </c>
      <c r="EX25">
        <v>0</v>
      </c>
      <c r="EY25">
        <v>20.2944</v>
      </c>
      <c r="EZ25">
        <v>5.21415</v>
      </c>
      <c r="FA25">
        <v>11.9692</v>
      </c>
      <c r="FB25">
        <v>4.99145</v>
      </c>
      <c r="FC25">
        <v>3.27185</v>
      </c>
      <c r="FD25">
        <v>2699.4</v>
      </c>
      <c r="FE25">
        <v>9999</v>
      </c>
      <c r="FF25">
        <v>9999</v>
      </c>
      <c r="FG25">
        <v>999.9</v>
      </c>
      <c r="FH25">
        <v>4.97259</v>
      </c>
      <c r="FI25">
        <v>1.86246</v>
      </c>
      <c r="FJ25">
        <v>1.86417</v>
      </c>
      <c r="FK25">
        <v>1.8626</v>
      </c>
      <c r="FL25">
        <v>1.86264</v>
      </c>
      <c r="FM25">
        <v>1.86325</v>
      </c>
      <c r="FN25">
        <v>1.85973</v>
      </c>
      <c r="FO25">
        <v>1.86249</v>
      </c>
      <c r="FP25">
        <v>0</v>
      </c>
      <c r="FQ25">
        <v>0</v>
      </c>
      <c r="FR25">
        <v>0</v>
      </c>
      <c r="FS25">
        <v>0</v>
      </c>
      <c r="FT25" t="s">
        <v>356</v>
      </c>
      <c r="FU25" t="s">
        <v>357</v>
      </c>
      <c r="FV25" t="s">
        <v>358</v>
      </c>
      <c r="FW25" t="s">
        <v>358</v>
      </c>
      <c r="FX25" t="s">
        <v>358</v>
      </c>
      <c r="FY25" t="s">
        <v>358</v>
      </c>
      <c r="FZ25">
        <v>0</v>
      </c>
      <c r="GA25">
        <v>100</v>
      </c>
      <c r="GB25">
        <v>100</v>
      </c>
      <c r="GC25">
        <v>2.38</v>
      </c>
      <c r="GD25">
        <v>0.1391</v>
      </c>
      <c r="GE25">
        <v>2.683567294668623</v>
      </c>
      <c r="GF25">
        <v>-0.001033730503750798</v>
      </c>
      <c r="GG25">
        <v>9.120241388950126E-07</v>
      </c>
      <c r="GH25">
        <v>-2.246115299815222E-10</v>
      </c>
      <c r="GI25">
        <v>-0.004758437865712145</v>
      </c>
      <c r="GJ25">
        <v>-0.01814858093373864</v>
      </c>
      <c r="GK25">
        <v>0.002091959988359369</v>
      </c>
      <c r="GL25">
        <v>-1.90871700788604E-05</v>
      </c>
      <c r="GM25">
        <v>2</v>
      </c>
      <c r="GN25">
        <v>2210</v>
      </c>
      <c r="GO25">
        <v>1</v>
      </c>
      <c r="GP25">
        <v>26</v>
      </c>
      <c r="GQ25">
        <v>12</v>
      </c>
      <c r="GR25">
        <v>2.4</v>
      </c>
      <c r="GS25">
        <v>1.25488</v>
      </c>
      <c r="GT25">
        <v>2.35962</v>
      </c>
      <c r="GU25">
        <v>2.34741</v>
      </c>
      <c r="GV25">
        <v>2.76733</v>
      </c>
      <c r="GW25">
        <v>2.39868</v>
      </c>
      <c r="GX25">
        <v>2.23267</v>
      </c>
      <c r="GY25">
        <v>28.2272</v>
      </c>
      <c r="GZ25">
        <v>14.097</v>
      </c>
      <c r="HA25">
        <v>18</v>
      </c>
      <c r="HB25">
        <v>697.8150000000001</v>
      </c>
      <c r="HC25">
        <v>665.574</v>
      </c>
      <c r="HD25">
        <v>22.5261</v>
      </c>
      <c r="HE25">
        <v>21.3456</v>
      </c>
      <c r="HF25">
        <v>30.0003</v>
      </c>
      <c r="HG25">
        <v>21.167</v>
      </c>
      <c r="HH25">
        <v>21.1091</v>
      </c>
      <c r="HI25">
        <v>25.1618</v>
      </c>
      <c r="HJ25">
        <v>46.4395</v>
      </c>
      <c r="HK25">
        <v>65.5266</v>
      </c>
      <c r="HL25">
        <v>-999.9</v>
      </c>
      <c r="HM25">
        <v>405</v>
      </c>
      <c r="HN25">
        <v>9.73124</v>
      </c>
      <c r="HO25">
        <v>100.88</v>
      </c>
      <c r="HP25">
        <v>101.224</v>
      </c>
    </row>
    <row r="26" spans="1:224">
      <c r="A26">
        <v>10</v>
      </c>
      <c r="B26">
        <v>1750697451.5</v>
      </c>
      <c r="C26">
        <v>2588.400000095367</v>
      </c>
      <c r="D26" t="s">
        <v>384</v>
      </c>
      <c r="E26" t="s">
        <v>385</v>
      </c>
      <c r="F26">
        <v>15</v>
      </c>
      <c r="G26">
        <v>1750697443.5</v>
      </c>
      <c r="H26">
        <f>(I26)/1000</f>
        <v>0</v>
      </c>
      <c r="I26">
        <f>IF(BD26, AL26, AF26)</f>
        <v>0</v>
      </c>
      <c r="J26">
        <f>IF(BD26, AG26, AE26)</f>
        <v>0</v>
      </c>
      <c r="K26">
        <f>BF26 - IF(AS26&gt;1, J26*AZ26*100.0/(AU26), 0)</f>
        <v>0</v>
      </c>
      <c r="L26">
        <f>((R26-H26/2)*K26-J26)/(R26+H26/2)</f>
        <v>0</v>
      </c>
      <c r="M26">
        <f>L26*(BM26+BN26)/1000.0</f>
        <v>0</v>
      </c>
      <c r="N26">
        <f>(BF26 - IF(AS26&gt;1, J26*AZ26*100.0/(AU26), 0))*(BM26+BN26)/1000.0</f>
        <v>0</v>
      </c>
      <c r="O26">
        <f>2.0/((1/Q26-1/P26)+SIGN(Q26)*SQRT((1/Q26-1/P26)*(1/Q26-1/P26) + 4*BA26/((BA26+1)*(BA26+1))*(2*1/Q26*1/P26-1/P26*1/P26)))</f>
        <v>0</v>
      </c>
      <c r="P26">
        <f>IF(LEFT(BB26,1)&lt;&gt;"0",IF(LEFT(BB26,1)="1",3.0,BC26),$D$5+$E$5*(BT26*BM26/($K$5*1000))+$F$5*(BT26*BM26/($K$5*1000))*MAX(MIN(AZ26,$J$5),$I$5)*MAX(MIN(AZ26,$J$5),$I$5)+$G$5*MAX(MIN(AZ26,$J$5),$I$5)*(BT26*BM26/($K$5*1000))+$H$5*(BT26*BM26/($K$5*1000))*(BT26*BM26/($K$5*1000)))</f>
        <v>0</v>
      </c>
      <c r="Q26">
        <f>H26*(1000-(1000*0.61365*exp(17.502*U26/(240.97+U26))/(BM26+BN26)+BH26)/2)/(1000*0.61365*exp(17.502*U26/(240.97+U26))/(BM26+BN26)-BH26)</f>
        <v>0</v>
      </c>
      <c r="R26">
        <f>1/((BA26+1)/(O26/1.6)+1/(P26/1.37)) + BA26/((BA26+1)/(O26/1.6) + BA26/(P26/1.37))</f>
        <v>0</v>
      </c>
      <c r="S26">
        <f>(AV26*AY26)</f>
        <v>0</v>
      </c>
      <c r="T26">
        <f>(BO26+(S26+2*0.95*5.67E-8*(((BO26+$B$7)+273)^4-(BO26+273)^4)-44100*H26)/(1.84*29.3*P26+8*0.95*5.67E-8*(BO26+273)^3))</f>
        <v>0</v>
      </c>
      <c r="U26">
        <f>($C$7*BP26+$D$7*BQ26+$E$7*T26)</f>
        <v>0</v>
      </c>
      <c r="V26">
        <f>0.61365*exp(17.502*U26/(240.97+U26))</f>
        <v>0</v>
      </c>
      <c r="W26">
        <f>(X26/Y26*100)</f>
        <v>0</v>
      </c>
      <c r="X26">
        <f>BH26*(BM26+BN26)/1000</f>
        <v>0</v>
      </c>
      <c r="Y26">
        <f>0.61365*exp(17.502*BO26/(240.97+BO26))</f>
        <v>0</v>
      </c>
      <c r="Z26">
        <f>(V26-BH26*(BM26+BN26)/1000)</f>
        <v>0</v>
      </c>
      <c r="AA26">
        <f>(-H26*44100)</f>
        <v>0</v>
      </c>
      <c r="AB26">
        <f>2*29.3*P26*0.92*(BO26-U26)</f>
        <v>0</v>
      </c>
      <c r="AC26">
        <f>2*0.95*5.67E-8*(((BO26+$B$7)+273)^4-(U26+273)^4)</f>
        <v>0</v>
      </c>
      <c r="AD26">
        <f>S26+AC26+AA26+AB26</f>
        <v>0</v>
      </c>
      <c r="AE26">
        <f>BL26*AS26*(BG26-BF26*(1000-AS26*BI26)/(1000-AS26*BH26))/(100*AZ26)</f>
        <v>0</v>
      </c>
      <c r="AF26">
        <f>1000*BL26*AS26*(BH26-BI26)/(100*AZ26*(1000-AS26*BH26))</f>
        <v>0</v>
      </c>
      <c r="AG26">
        <f>(AH26 - AI26 - BM26*1E3/(8.314*(BO26+273.15)) * AK26/BL26 * AJ26) * BL26/(100*AZ26) * (1000 - BI26)/1000</f>
        <v>0</v>
      </c>
      <c r="AH26">
        <v>410.7938211611819</v>
      </c>
      <c r="AI26">
        <v>403.5148909090908</v>
      </c>
      <c r="AJ26">
        <v>-0.001002189195815733</v>
      </c>
      <c r="AK26">
        <v>66.95994496583108</v>
      </c>
      <c r="AL26">
        <f>(AN26 - AM26 + BM26*1E3/(8.314*(BO26+273.15)) * AP26/BL26 * AO26) * BL26/(100*AZ26) * 1000/(1000 - AN26)</f>
        <v>0</v>
      </c>
      <c r="AM26">
        <v>14.11520595399454</v>
      </c>
      <c r="AN26">
        <v>15.82745393939395</v>
      </c>
      <c r="AO26">
        <v>0.009071253651148217</v>
      </c>
      <c r="AP26">
        <v>79.19179286266434</v>
      </c>
      <c r="AQ26">
        <v>108</v>
      </c>
      <c r="AR26">
        <v>13</v>
      </c>
      <c r="AS26">
        <f>IF(AQ26*$H$13&gt;=AU26,1.0,(AU26/(AU26-AQ26*$H$13)))</f>
        <v>0</v>
      </c>
      <c r="AT26">
        <f>(AS26-1)*100</f>
        <v>0</v>
      </c>
      <c r="AU26">
        <f>MAX(0,($B$13+$C$13*BT26)/(1+$D$13*BT26)*BM26/(BO26+273)*$E$13)</f>
        <v>0</v>
      </c>
      <c r="AV26">
        <f>$B$11*BU26+$C$11*BV26+$F$11*CG26*(1-CJ26)</f>
        <v>0</v>
      </c>
      <c r="AW26">
        <f>AV26*AX26</f>
        <v>0</v>
      </c>
      <c r="AX26">
        <f>($B$11*$D$9+$C$11*$D$9+$F$11*((CT26+CL26)/MAX(CT26+CL26+CU26, 0.1)*$I$9+CU26/MAX(CT26+CL26+CU26, 0.1)*$J$9))/($B$11+$C$11+$F$11)</f>
        <v>0</v>
      </c>
      <c r="AY26">
        <f>($B$11*$K$9+$C$11*$K$9+$F$11*((CT26+CL26)/MAX(CT26+CL26+CU26, 0.1)*$P$9+CU26/MAX(CT26+CL26+CU26, 0.1)*$Q$9))/($B$11+$C$11+$F$11)</f>
        <v>0</v>
      </c>
      <c r="AZ26">
        <v>6</v>
      </c>
      <c r="BA26">
        <v>0.5</v>
      </c>
      <c r="BB26" t="s">
        <v>353</v>
      </c>
      <c r="BC26">
        <v>2</v>
      </c>
      <c r="BD26" t="b">
        <v>0</v>
      </c>
      <c r="BE26">
        <v>1750697443.5</v>
      </c>
      <c r="BF26">
        <v>397.178</v>
      </c>
      <c r="BG26">
        <v>404.9867741935483</v>
      </c>
      <c r="BH26">
        <v>15.77598709677419</v>
      </c>
      <c r="BI26">
        <v>14.05409677419355</v>
      </c>
      <c r="BJ26">
        <v>394.818</v>
      </c>
      <c r="BK26">
        <v>15.62634838709677</v>
      </c>
      <c r="BL26">
        <v>799.9705806451614</v>
      </c>
      <c r="BM26">
        <v>101.4262903225807</v>
      </c>
      <c r="BN26">
        <v>0.09982834516129034</v>
      </c>
      <c r="BO26">
        <v>23.7045</v>
      </c>
      <c r="BP26">
        <v>23.31838709677419</v>
      </c>
      <c r="BQ26">
        <v>999.9000000000003</v>
      </c>
      <c r="BR26">
        <v>0</v>
      </c>
      <c r="BS26">
        <v>0</v>
      </c>
      <c r="BT26">
        <v>9999.312903225808</v>
      </c>
      <c r="BU26">
        <v>0</v>
      </c>
      <c r="BV26">
        <v>0.00152894</v>
      </c>
      <c r="BW26">
        <v>-7.785716774193549</v>
      </c>
      <c r="BX26">
        <v>403.5676451612903</v>
      </c>
      <c r="BY26">
        <v>410.7595806451613</v>
      </c>
      <c r="BZ26">
        <v>1.721884516129032</v>
      </c>
      <c r="CA26">
        <v>404.9867741935483</v>
      </c>
      <c r="CB26">
        <v>14.05409677419355</v>
      </c>
      <c r="CC26">
        <v>1.600097419354839</v>
      </c>
      <c r="CD26">
        <v>1.425454193548387</v>
      </c>
      <c r="CE26">
        <v>13.95973548387097</v>
      </c>
      <c r="CF26">
        <v>12.1911</v>
      </c>
      <c r="CG26">
        <v>999.9905161290321</v>
      </c>
      <c r="CH26">
        <v>0.9599928064516126</v>
      </c>
      <c r="CI26">
        <v>0.04000753548387098</v>
      </c>
      <c r="CJ26">
        <v>0</v>
      </c>
      <c r="CK26">
        <v>2.320645161290323</v>
      </c>
      <c r="CL26">
        <v>0</v>
      </c>
      <c r="CM26">
        <v>8698.719032258065</v>
      </c>
      <c r="CN26">
        <v>7946.814838709678</v>
      </c>
      <c r="CO26">
        <v>38.54209677419355</v>
      </c>
      <c r="CP26">
        <v>41.9553870967742</v>
      </c>
      <c r="CQ26">
        <v>39.97358064516129</v>
      </c>
      <c r="CR26">
        <v>41.79412903225806</v>
      </c>
      <c r="CS26">
        <v>38.57632258064516</v>
      </c>
      <c r="CT26">
        <v>959.9832258064516</v>
      </c>
      <c r="CU26">
        <v>40.00774193548387</v>
      </c>
      <c r="CV26">
        <v>0</v>
      </c>
      <c r="CW26">
        <v>1750697468</v>
      </c>
      <c r="CX26">
        <v>0</v>
      </c>
      <c r="CY26">
        <v>1750697468.5</v>
      </c>
      <c r="CZ26" t="s">
        <v>386</v>
      </c>
      <c r="DA26">
        <v>1750697468.5</v>
      </c>
      <c r="DB26">
        <v>1750697115.5</v>
      </c>
      <c r="DC26">
        <v>9</v>
      </c>
      <c r="DD26">
        <v>-0.02</v>
      </c>
      <c r="DE26">
        <v>0.017</v>
      </c>
      <c r="DF26">
        <v>2.36</v>
      </c>
      <c r="DG26">
        <v>0.145</v>
      </c>
      <c r="DH26">
        <v>405</v>
      </c>
      <c r="DI26">
        <v>16</v>
      </c>
      <c r="DJ26">
        <v>0.13</v>
      </c>
      <c r="DK26">
        <v>0.15</v>
      </c>
      <c r="DL26">
        <v>-7.767161463414634</v>
      </c>
      <c r="DM26">
        <v>-0.3678551916376265</v>
      </c>
      <c r="DN26">
        <v>0.04172098054181628</v>
      </c>
      <c r="DO26">
        <v>0</v>
      </c>
      <c r="DP26">
        <v>1.717313658536586</v>
      </c>
      <c r="DQ26">
        <v>0.03830780487804716</v>
      </c>
      <c r="DR26">
        <v>0.01886124957142546</v>
      </c>
      <c r="DS26">
        <v>1</v>
      </c>
      <c r="DT26">
        <v>1</v>
      </c>
      <c r="DU26">
        <v>2</v>
      </c>
      <c r="DV26" t="s">
        <v>355</v>
      </c>
      <c r="DW26">
        <v>3.44788</v>
      </c>
      <c r="DX26">
        <v>2.78093</v>
      </c>
      <c r="DY26">
        <v>0.0965859</v>
      </c>
      <c r="DZ26">
        <v>0.09842090000000001</v>
      </c>
      <c r="EA26">
        <v>0.089089</v>
      </c>
      <c r="EB26">
        <v>0.08186110000000001</v>
      </c>
      <c r="EC26">
        <v>27339.1</v>
      </c>
      <c r="ED26">
        <v>31043.2</v>
      </c>
      <c r="EE26">
        <v>29385.7</v>
      </c>
      <c r="EF26">
        <v>35010.2</v>
      </c>
      <c r="EG26">
        <v>30947.7</v>
      </c>
      <c r="EH26">
        <v>39915.4</v>
      </c>
      <c r="EI26">
        <v>36167.7</v>
      </c>
      <c r="EJ26">
        <v>46359.1</v>
      </c>
      <c r="EK26">
        <v>2.38538</v>
      </c>
      <c r="EL26">
        <v>2.30658</v>
      </c>
      <c r="EM26">
        <v>0.101604</v>
      </c>
      <c r="EN26">
        <v>0</v>
      </c>
      <c r="EO26">
        <v>21.6543</v>
      </c>
      <c r="EP26">
        <v>999.9</v>
      </c>
      <c r="EQ26">
        <v>67</v>
      </c>
      <c r="ER26">
        <v>22.8</v>
      </c>
      <c r="ES26">
        <v>18.4025</v>
      </c>
      <c r="ET26">
        <v>61.4582</v>
      </c>
      <c r="EU26">
        <v>25.8053</v>
      </c>
      <c r="EV26">
        <v>2</v>
      </c>
      <c r="EW26">
        <v>-0.456377</v>
      </c>
      <c r="EX26">
        <v>0</v>
      </c>
      <c r="EY26">
        <v>20.2941</v>
      </c>
      <c r="EZ26">
        <v>5.21235</v>
      </c>
      <c r="FA26">
        <v>11.97</v>
      </c>
      <c r="FB26">
        <v>4.9912</v>
      </c>
      <c r="FC26">
        <v>3.27155</v>
      </c>
      <c r="FD26">
        <v>2705.7</v>
      </c>
      <c r="FE26">
        <v>9999</v>
      </c>
      <c r="FF26">
        <v>9999</v>
      </c>
      <c r="FG26">
        <v>999.9</v>
      </c>
      <c r="FH26">
        <v>4.97262</v>
      </c>
      <c r="FI26">
        <v>1.86245</v>
      </c>
      <c r="FJ26">
        <v>1.86417</v>
      </c>
      <c r="FK26">
        <v>1.86263</v>
      </c>
      <c r="FL26">
        <v>1.86264</v>
      </c>
      <c r="FM26">
        <v>1.86325</v>
      </c>
      <c r="FN26">
        <v>1.85974</v>
      </c>
      <c r="FO26">
        <v>1.86253</v>
      </c>
      <c r="FP26">
        <v>0</v>
      </c>
      <c r="FQ26">
        <v>0</v>
      </c>
      <c r="FR26">
        <v>0</v>
      </c>
      <c r="FS26">
        <v>0</v>
      </c>
      <c r="FT26" t="s">
        <v>356</v>
      </c>
      <c r="FU26" t="s">
        <v>357</v>
      </c>
      <c r="FV26" t="s">
        <v>358</v>
      </c>
      <c r="FW26" t="s">
        <v>358</v>
      </c>
      <c r="FX26" t="s">
        <v>358</v>
      </c>
      <c r="FY26" t="s">
        <v>358</v>
      </c>
      <c r="FZ26">
        <v>0</v>
      </c>
      <c r="GA26">
        <v>100</v>
      </c>
      <c r="GB26">
        <v>100</v>
      </c>
      <c r="GC26">
        <v>2.36</v>
      </c>
      <c r="GD26">
        <v>0.1514</v>
      </c>
      <c r="GE26">
        <v>2.662871827301891</v>
      </c>
      <c r="GF26">
        <v>-0.001033730503750798</v>
      </c>
      <c r="GG26">
        <v>9.120241388950126E-07</v>
      </c>
      <c r="GH26">
        <v>-2.246115299815222E-10</v>
      </c>
      <c r="GI26">
        <v>-0.004758437865712145</v>
      </c>
      <c r="GJ26">
        <v>-0.01814858093373864</v>
      </c>
      <c r="GK26">
        <v>0.002091959988359369</v>
      </c>
      <c r="GL26">
        <v>-1.90871700788604E-05</v>
      </c>
      <c r="GM26">
        <v>2</v>
      </c>
      <c r="GN26">
        <v>2210</v>
      </c>
      <c r="GO26">
        <v>1</v>
      </c>
      <c r="GP26">
        <v>26</v>
      </c>
      <c r="GQ26">
        <v>2.9</v>
      </c>
      <c r="GR26">
        <v>5.6</v>
      </c>
      <c r="GS26">
        <v>1.25977</v>
      </c>
      <c r="GT26">
        <v>2.36694</v>
      </c>
      <c r="GU26">
        <v>2.34741</v>
      </c>
      <c r="GV26">
        <v>2.76611</v>
      </c>
      <c r="GW26">
        <v>2.39868</v>
      </c>
      <c r="GX26">
        <v>2.26196</v>
      </c>
      <c r="GY26">
        <v>28.4163</v>
      </c>
      <c r="GZ26">
        <v>14.0795</v>
      </c>
      <c r="HA26">
        <v>18</v>
      </c>
      <c r="HB26">
        <v>673.629</v>
      </c>
      <c r="HC26">
        <v>671.429</v>
      </c>
      <c r="HD26">
        <v>22.6443</v>
      </c>
      <c r="HE26">
        <v>21.4656</v>
      </c>
      <c r="HF26">
        <v>30.0005</v>
      </c>
      <c r="HG26">
        <v>21.3017</v>
      </c>
      <c r="HH26">
        <v>21.2506</v>
      </c>
      <c r="HI26">
        <v>25.266</v>
      </c>
      <c r="HJ26">
        <v>26.7005</v>
      </c>
      <c r="HK26">
        <v>61.2063</v>
      </c>
      <c r="HL26">
        <v>-999.9</v>
      </c>
      <c r="HM26">
        <v>405</v>
      </c>
      <c r="HN26">
        <v>14.195</v>
      </c>
      <c r="HO26">
        <v>100.885</v>
      </c>
      <c r="HP26">
        <v>101.21</v>
      </c>
    </row>
    <row r="27" spans="1:224">
      <c r="A27">
        <v>11</v>
      </c>
      <c r="B27">
        <v>1750697707</v>
      </c>
      <c r="C27">
        <v>2843.900000095367</v>
      </c>
      <c r="D27" t="s">
        <v>387</v>
      </c>
      <c r="E27" t="s">
        <v>388</v>
      </c>
      <c r="F27">
        <v>15</v>
      </c>
      <c r="G27">
        <v>1750697699.25</v>
      </c>
      <c r="H27">
        <f>(I27)/1000</f>
        <v>0</v>
      </c>
      <c r="I27">
        <f>IF(BD27, AL27, AF27)</f>
        <v>0</v>
      </c>
      <c r="J27">
        <f>IF(BD27, AG27, AE27)</f>
        <v>0</v>
      </c>
      <c r="K27">
        <f>BF27 - IF(AS27&gt;1, J27*AZ27*100.0/(AU27), 0)</f>
        <v>0</v>
      </c>
      <c r="L27">
        <f>((R27-H27/2)*K27-J27)/(R27+H27/2)</f>
        <v>0</v>
      </c>
      <c r="M27">
        <f>L27*(BM27+BN27)/1000.0</f>
        <v>0</v>
      </c>
      <c r="N27">
        <f>(BF27 - IF(AS27&gt;1, J27*AZ27*100.0/(AU27), 0))*(BM27+BN27)/1000.0</f>
        <v>0</v>
      </c>
      <c r="O27">
        <f>2.0/((1/Q27-1/P27)+SIGN(Q27)*SQRT((1/Q27-1/P27)*(1/Q27-1/P27) + 4*BA27/((BA27+1)*(BA27+1))*(2*1/Q27*1/P27-1/P27*1/P27)))</f>
        <v>0</v>
      </c>
      <c r="P27">
        <f>IF(LEFT(BB27,1)&lt;&gt;"0",IF(LEFT(BB27,1)="1",3.0,BC27),$D$5+$E$5*(BT27*BM27/($K$5*1000))+$F$5*(BT27*BM27/($K$5*1000))*MAX(MIN(AZ27,$J$5),$I$5)*MAX(MIN(AZ27,$J$5),$I$5)+$G$5*MAX(MIN(AZ27,$J$5),$I$5)*(BT27*BM27/($K$5*1000))+$H$5*(BT27*BM27/($K$5*1000))*(BT27*BM27/($K$5*1000)))</f>
        <v>0</v>
      </c>
      <c r="Q27">
        <f>H27*(1000-(1000*0.61365*exp(17.502*U27/(240.97+U27))/(BM27+BN27)+BH27)/2)/(1000*0.61365*exp(17.502*U27/(240.97+U27))/(BM27+BN27)-BH27)</f>
        <v>0</v>
      </c>
      <c r="R27">
        <f>1/((BA27+1)/(O27/1.6)+1/(P27/1.37)) + BA27/((BA27+1)/(O27/1.6) + BA27/(P27/1.37))</f>
        <v>0</v>
      </c>
      <c r="S27">
        <f>(AV27*AY27)</f>
        <v>0</v>
      </c>
      <c r="T27">
        <f>(BO27+(S27+2*0.95*5.67E-8*(((BO27+$B$7)+273)^4-(BO27+273)^4)-44100*H27)/(1.84*29.3*P27+8*0.95*5.67E-8*(BO27+273)^3))</f>
        <v>0</v>
      </c>
      <c r="U27">
        <f>($C$7*BP27+$D$7*BQ27+$E$7*T27)</f>
        <v>0</v>
      </c>
      <c r="V27">
        <f>0.61365*exp(17.502*U27/(240.97+U27))</f>
        <v>0</v>
      </c>
      <c r="W27">
        <f>(X27/Y27*100)</f>
        <v>0</v>
      </c>
      <c r="X27">
        <f>BH27*(BM27+BN27)/1000</f>
        <v>0</v>
      </c>
      <c r="Y27">
        <f>0.61365*exp(17.502*BO27/(240.97+BO27))</f>
        <v>0</v>
      </c>
      <c r="Z27">
        <f>(V27-BH27*(BM27+BN27)/1000)</f>
        <v>0</v>
      </c>
      <c r="AA27">
        <f>(-H27*44100)</f>
        <v>0</v>
      </c>
      <c r="AB27">
        <f>2*29.3*P27*0.92*(BO27-U27)</f>
        <v>0</v>
      </c>
      <c r="AC27">
        <f>2*0.95*5.67E-8*(((BO27+$B$7)+273)^4-(U27+273)^4)</f>
        <v>0</v>
      </c>
      <c r="AD27">
        <f>S27+AC27+AA27+AB27</f>
        <v>0</v>
      </c>
      <c r="AE27">
        <f>BL27*AS27*(BG27-BF27*(1000-AS27*BI27)/(1000-AS27*BH27))/(100*AZ27)</f>
        <v>0</v>
      </c>
      <c r="AF27">
        <f>1000*BL27*AS27*(BH27-BI27)/(100*AZ27*(1000-AS27*BH27))</f>
        <v>0</v>
      </c>
      <c r="AG27">
        <f>(AH27 - AI27 - BM27*1E3/(8.314*(BO27+273.15)) * AK27/BL27 * AJ27) * BL27/(100*AZ27) * (1000 - BI27)/1000</f>
        <v>0</v>
      </c>
      <c r="AH27">
        <v>410.7065944271269</v>
      </c>
      <c r="AI27">
        <v>402.7953151515151</v>
      </c>
      <c r="AJ27">
        <v>-0.0002466167469624858</v>
      </c>
      <c r="AK27">
        <v>66.96161397456706</v>
      </c>
      <c r="AL27">
        <f>(AN27 - AM27 + BM27*1E3/(8.314*(BO27+273.15)) * AP27/BL27 * AO27) * BL27/(100*AZ27) * 1000/(1000 - AN27)</f>
        <v>0</v>
      </c>
      <c r="AM27">
        <v>13.90623488774565</v>
      </c>
      <c r="AN27">
        <v>15.68632909090909</v>
      </c>
      <c r="AO27">
        <v>0.001765675473086947</v>
      </c>
      <c r="AP27">
        <v>79.15438301723179</v>
      </c>
      <c r="AQ27">
        <v>232</v>
      </c>
      <c r="AR27">
        <v>29</v>
      </c>
      <c r="AS27">
        <f>IF(AQ27*$H$13&gt;=AU27,1.0,(AU27/(AU27-AQ27*$H$13)))</f>
        <v>0</v>
      </c>
      <c r="AT27">
        <f>(AS27-1)*100</f>
        <v>0</v>
      </c>
      <c r="AU27">
        <f>MAX(0,($B$13+$C$13*BT27)/(1+$D$13*BT27)*BM27/(BO27+273)*$E$13)</f>
        <v>0</v>
      </c>
      <c r="AV27">
        <f>$B$11*BU27+$C$11*BV27+$F$11*CG27*(1-CJ27)</f>
        <v>0</v>
      </c>
      <c r="AW27">
        <f>AV27*AX27</f>
        <v>0</v>
      </c>
      <c r="AX27">
        <f>($B$11*$D$9+$C$11*$D$9+$F$11*((CT27+CL27)/MAX(CT27+CL27+CU27, 0.1)*$I$9+CU27/MAX(CT27+CL27+CU27, 0.1)*$J$9))/($B$11+$C$11+$F$11)</f>
        <v>0</v>
      </c>
      <c r="AY27">
        <f>($B$11*$K$9+$C$11*$K$9+$F$11*((CT27+CL27)/MAX(CT27+CL27+CU27, 0.1)*$P$9+CU27/MAX(CT27+CL27+CU27, 0.1)*$Q$9))/($B$11+$C$11+$F$11)</f>
        <v>0</v>
      </c>
      <c r="AZ27">
        <v>6</v>
      </c>
      <c r="BA27">
        <v>0.5</v>
      </c>
      <c r="BB27" t="s">
        <v>353</v>
      </c>
      <c r="BC27">
        <v>2</v>
      </c>
      <c r="BD27" t="b">
        <v>0</v>
      </c>
      <c r="BE27">
        <v>1750697699.25</v>
      </c>
      <c r="BF27">
        <v>396.4000666666666</v>
      </c>
      <c r="BG27">
        <v>404.9945666666668</v>
      </c>
      <c r="BH27">
        <v>15.64351666666667</v>
      </c>
      <c r="BI27">
        <v>13.88888</v>
      </c>
      <c r="BJ27">
        <v>394.1440666666666</v>
      </c>
      <c r="BK27">
        <v>15.49812666666667</v>
      </c>
      <c r="BL27">
        <v>800.0182333333336</v>
      </c>
      <c r="BM27">
        <v>101.4288666666667</v>
      </c>
      <c r="BN27">
        <v>0.10011746</v>
      </c>
      <c r="BO27">
        <v>23.51742333333334</v>
      </c>
      <c r="BP27">
        <v>22.82890666666667</v>
      </c>
      <c r="BQ27">
        <v>999.9000000000002</v>
      </c>
      <c r="BR27">
        <v>0</v>
      </c>
      <c r="BS27">
        <v>0</v>
      </c>
      <c r="BT27">
        <v>10001.117</v>
      </c>
      <c r="BU27">
        <v>0</v>
      </c>
      <c r="BV27">
        <v>0.00152894</v>
      </c>
      <c r="BW27">
        <v>-8.487352333333332</v>
      </c>
      <c r="BX27">
        <v>402.8086</v>
      </c>
      <c r="BY27">
        <v>410.6987333333333</v>
      </c>
      <c r="BZ27">
        <v>1.754634333333333</v>
      </c>
      <c r="CA27">
        <v>404.9945666666668</v>
      </c>
      <c r="CB27">
        <v>13.88888</v>
      </c>
      <c r="CC27">
        <v>1.586704333333333</v>
      </c>
      <c r="CD27">
        <v>1.408733</v>
      </c>
      <c r="CE27">
        <v>13.83024</v>
      </c>
      <c r="CF27">
        <v>12.01193666666667</v>
      </c>
      <c r="CG27">
        <v>1000.012166666667</v>
      </c>
      <c r="CH27">
        <v>0.9600112333333333</v>
      </c>
      <c r="CI27">
        <v>0.03998895333333332</v>
      </c>
      <c r="CJ27">
        <v>0</v>
      </c>
      <c r="CK27">
        <v>0.8958333333333336</v>
      </c>
      <c r="CL27">
        <v>0</v>
      </c>
      <c r="CM27">
        <v>8788.826999999999</v>
      </c>
      <c r="CN27">
        <v>7947.048333333331</v>
      </c>
      <c r="CO27">
        <v>36.75389999999999</v>
      </c>
      <c r="CP27">
        <v>40.12469999999998</v>
      </c>
      <c r="CQ27">
        <v>38.24976666666666</v>
      </c>
      <c r="CR27">
        <v>39.19559999999999</v>
      </c>
      <c r="CS27">
        <v>36.86636666666666</v>
      </c>
      <c r="CT27">
        <v>960.0229999999999</v>
      </c>
      <c r="CU27">
        <v>39.99</v>
      </c>
      <c r="CV27">
        <v>0</v>
      </c>
      <c r="CW27">
        <v>1750697723.6</v>
      </c>
      <c r="CX27">
        <v>0</v>
      </c>
      <c r="CY27">
        <v>1750697725</v>
      </c>
      <c r="CZ27" t="s">
        <v>389</v>
      </c>
      <c r="DA27">
        <v>1750697725</v>
      </c>
      <c r="DB27">
        <v>1750697115.5</v>
      </c>
      <c r="DC27">
        <v>10</v>
      </c>
      <c r="DD27">
        <v>-0.103</v>
      </c>
      <c r="DE27">
        <v>0.017</v>
      </c>
      <c r="DF27">
        <v>2.256</v>
      </c>
      <c r="DG27">
        <v>0.145</v>
      </c>
      <c r="DH27">
        <v>405</v>
      </c>
      <c r="DI27">
        <v>16</v>
      </c>
      <c r="DJ27">
        <v>0.12</v>
      </c>
      <c r="DK27">
        <v>0.15</v>
      </c>
      <c r="DL27">
        <v>-8.470192195121951</v>
      </c>
      <c r="DM27">
        <v>-0.2765236933797817</v>
      </c>
      <c r="DN27">
        <v>0.03352180284401696</v>
      </c>
      <c r="DO27">
        <v>0</v>
      </c>
      <c r="DP27">
        <v>1.768608536585366</v>
      </c>
      <c r="DQ27">
        <v>-0.1418178397212561</v>
      </c>
      <c r="DR27">
        <v>0.03249216457600243</v>
      </c>
      <c r="DS27">
        <v>0</v>
      </c>
      <c r="DT27">
        <v>0</v>
      </c>
      <c r="DU27">
        <v>2</v>
      </c>
      <c r="DV27" t="s">
        <v>372</v>
      </c>
      <c r="DW27">
        <v>3.4478</v>
      </c>
      <c r="DX27">
        <v>2.78072</v>
      </c>
      <c r="DY27">
        <v>0.0964401</v>
      </c>
      <c r="DZ27">
        <v>0.0984004</v>
      </c>
      <c r="EA27">
        <v>0.0884812</v>
      </c>
      <c r="EB27">
        <v>0.0809034</v>
      </c>
      <c r="EC27">
        <v>27341.9</v>
      </c>
      <c r="ED27">
        <v>31044.6</v>
      </c>
      <c r="EE27">
        <v>29384.3</v>
      </c>
      <c r="EF27">
        <v>35011.4</v>
      </c>
      <c r="EG27">
        <v>30968.3</v>
      </c>
      <c r="EH27">
        <v>39959.4</v>
      </c>
      <c r="EI27">
        <v>36166.9</v>
      </c>
      <c r="EJ27">
        <v>46361.6</v>
      </c>
      <c r="EK27">
        <v>2.16432</v>
      </c>
      <c r="EL27">
        <v>2.30378</v>
      </c>
      <c r="EM27">
        <v>0.0867844</v>
      </c>
      <c r="EN27">
        <v>0</v>
      </c>
      <c r="EO27">
        <v>21.4191</v>
      </c>
      <c r="EP27">
        <v>999.9</v>
      </c>
      <c r="EQ27">
        <v>66.3</v>
      </c>
      <c r="ER27">
        <v>23.2</v>
      </c>
      <c r="ES27">
        <v>18.657</v>
      </c>
      <c r="ET27">
        <v>62.0482</v>
      </c>
      <c r="EU27">
        <v>25.9615</v>
      </c>
      <c r="EV27">
        <v>2</v>
      </c>
      <c r="EW27">
        <v>-0.452302</v>
      </c>
      <c r="EX27">
        <v>0</v>
      </c>
      <c r="EY27">
        <v>20.2945</v>
      </c>
      <c r="EZ27">
        <v>5.21145</v>
      </c>
      <c r="FA27">
        <v>11.9683</v>
      </c>
      <c r="FB27">
        <v>4.99165</v>
      </c>
      <c r="FC27">
        <v>3.27198</v>
      </c>
      <c r="FD27">
        <v>2713.7</v>
      </c>
      <c r="FE27">
        <v>9999</v>
      </c>
      <c r="FF27">
        <v>9999</v>
      </c>
      <c r="FG27">
        <v>999.9</v>
      </c>
      <c r="FH27">
        <v>4.97262</v>
      </c>
      <c r="FI27">
        <v>1.86249</v>
      </c>
      <c r="FJ27">
        <v>1.86417</v>
      </c>
      <c r="FK27">
        <v>1.86264</v>
      </c>
      <c r="FL27">
        <v>1.86264</v>
      </c>
      <c r="FM27">
        <v>1.86325</v>
      </c>
      <c r="FN27">
        <v>1.85974</v>
      </c>
      <c r="FO27">
        <v>1.86257</v>
      </c>
      <c r="FP27">
        <v>0</v>
      </c>
      <c r="FQ27">
        <v>0</v>
      </c>
      <c r="FR27">
        <v>0</v>
      </c>
      <c r="FS27">
        <v>0</v>
      </c>
      <c r="FT27" t="s">
        <v>356</v>
      </c>
      <c r="FU27" t="s">
        <v>357</v>
      </c>
      <c r="FV27" t="s">
        <v>358</v>
      </c>
      <c r="FW27" t="s">
        <v>358</v>
      </c>
      <c r="FX27" t="s">
        <v>358</v>
      </c>
      <c r="FY27" t="s">
        <v>358</v>
      </c>
      <c r="FZ27">
        <v>0</v>
      </c>
      <c r="GA27">
        <v>100</v>
      </c>
      <c r="GB27">
        <v>100</v>
      </c>
      <c r="GC27">
        <v>2.256</v>
      </c>
      <c r="GD27">
        <v>0.1468</v>
      </c>
      <c r="GE27">
        <v>2.642682367508667</v>
      </c>
      <c r="GF27">
        <v>-0.001033730503750798</v>
      </c>
      <c r="GG27">
        <v>9.120241388950126E-07</v>
      </c>
      <c r="GH27">
        <v>-2.246115299815222E-10</v>
      </c>
      <c r="GI27">
        <v>-0.004758437865712145</v>
      </c>
      <c r="GJ27">
        <v>-0.01814858093373864</v>
      </c>
      <c r="GK27">
        <v>0.002091959988359369</v>
      </c>
      <c r="GL27">
        <v>-1.90871700788604E-05</v>
      </c>
      <c r="GM27">
        <v>2</v>
      </c>
      <c r="GN27">
        <v>2210</v>
      </c>
      <c r="GO27">
        <v>1</v>
      </c>
      <c r="GP27">
        <v>26</v>
      </c>
      <c r="GQ27">
        <v>4</v>
      </c>
      <c r="GR27">
        <v>9.9</v>
      </c>
      <c r="GS27">
        <v>1.26099</v>
      </c>
      <c r="GT27">
        <v>2.36694</v>
      </c>
      <c r="GU27">
        <v>2.34863</v>
      </c>
      <c r="GV27">
        <v>2.76367</v>
      </c>
      <c r="GW27">
        <v>2.39868</v>
      </c>
      <c r="GX27">
        <v>2.26318</v>
      </c>
      <c r="GY27">
        <v>28.6479</v>
      </c>
      <c r="GZ27">
        <v>14.0445</v>
      </c>
      <c r="HA27">
        <v>18</v>
      </c>
      <c r="HB27">
        <v>527.765</v>
      </c>
      <c r="HC27">
        <v>670.337</v>
      </c>
      <c r="HD27">
        <v>22.6568</v>
      </c>
      <c r="HE27">
        <v>21.5622</v>
      </c>
      <c r="HF27">
        <v>29.9992</v>
      </c>
      <c r="HG27">
        <v>21.407</v>
      </c>
      <c r="HH27">
        <v>21.3396</v>
      </c>
      <c r="HI27">
        <v>25.2761</v>
      </c>
      <c r="HJ27">
        <v>28.5091</v>
      </c>
      <c r="HK27">
        <v>58.9971</v>
      </c>
      <c r="HL27">
        <v>-999.9</v>
      </c>
      <c r="HM27">
        <v>405</v>
      </c>
      <c r="HN27">
        <v>13.9695</v>
      </c>
      <c r="HO27">
        <v>100.881</v>
      </c>
      <c r="HP27">
        <v>101.215</v>
      </c>
    </row>
    <row r="28" spans="1:224">
      <c r="A28">
        <v>12</v>
      </c>
      <c r="B28">
        <v>1750697832</v>
      </c>
      <c r="C28">
        <v>2968.900000095367</v>
      </c>
      <c r="D28" t="s">
        <v>390</v>
      </c>
      <c r="E28" t="s">
        <v>391</v>
      </c>
      <c r="F28">
        <v>15</v>
      </c>
      <c r="G28">
        <v>1750697824</v>
      </c>
      <c r="H28">
        <f>(I28)/1000</f>
        <v>0</v>
      </c>
      <c r="I28">
        <f>IF(BD28, AL28, AF28)</f>
        <v>0</v>
      </c>
      <c r="J28">
        <f>IF(BD28, AG28, AE28)</f>
        <v>0</v>
      </c>
      <c r="K28">
        <f>BF28 - IF(AS28&gt;1, J28*AZ28*100.0/(AU28), 0)</f>
        <v>0</v>
      </c>
      <c r="L28">
        <f>((R28-H28/2)*K28-J28)/(R28+H28/2)</f>
        <v>0</v>
      </c>
      <c r="M28">
        <f>L28*(BM28+BN28)/1000.0</f>
        <v>0</v>
      </c>
      <c r="N28">
        <f>(BF28 - IF(AS28&gt;1, J28*AZ28*100.0/(AU28), 0))*(BM28+BN28)/1000.0</f>
        <v>0</v>
      </c>
      <c r="O28">
        <f>2.0/((1/Q28-1/P28)+SIGN(Q28)*SQRT((1/Q28-1/P28)*(1/Q28-1/P28) + 4*BA28/((BA28+1)*(BA28+1))*(2*1/Q28*1/P28-1/P28*1/P28)))</f>
        <v>0</v>
      </c>
      <c r="P28">
        <f>IF(LEFT(BB28,1)&lt;&gt;"0",IF(LEFT(BB28,1)="1",3.0,BC28),$D$5+$E$5*(BT28*BM28/($K$5*1000))+$F$5*(BT28*BM28/($K$5*1000))*MAX(MIN(AZ28,$J$5),$I$5)*MAX(MIN(AZ28,$J$5),$I$5)+$G$5*MAX(MIN(AZ28,$J$5),$I$5)*(BT28*BM28/($K$5*1000))+$H$5*(BT28*BM28/($K$5*1000))*(BT28*BM28/($K$5*1000)))</f>
        <v>0</v>
      </c>
      <c r="Q28">
        <f>H28*(1000-(1000*0.61365*exp(17.502*U28/(240.97+U28))/(BM28+BN28)+BH28)/2)/(1000*0.61365*exp(17.502*U28/(240.97+U28))/(BM28+BN28)-BH28)</f>
        <v>0</v>
      </c>
      <c r="R28">
        <f>1/((BA28+1)/(O28/1.6)+1/(P28/1.37)) + BA28/((BA28+1)/(O28/1.6) + BA28/(P28/1.37))</f>
        <v>0</v>
      </c>
      <c r="S28">
        <f>(AV28*AY28)</f>
        <v>0</v>
      </c>
      <c r="T28">
        <f>(BO28+(S28+2*0.95*5.67E-8*(((BO28+$B$7)+273)^4-(BO28+273)^4)-44100*H28)/(1.84*29.3*P28+8*0.95*5.67E-8*(BO28+273)^3))</f>
        <v>0</v>
      </c>
      <c r="U28">
        <f>($C$7*BP28+$D$7*BQ28+$E$7*T28)</f>
        <v>0</v>
      </c>
      <c r="V28">
        <f>0.61365*exp(17.502*U28/(240.97+U28))</f>
        <v>0</v>
      </c>
      <c r="W28">
        <f>(X28/Y28*100)</f>
        <v>0</v>
      </c>
      <c r="X28">
        <f>BH28*(BM28+BN28)/1000</f>
        <v>0</v>
      </c>
      <c r="Y28">
        <f>0.61365*exp(17.502*BO28/(240.97+BO28))</f>
        <v>0</v>
      </c>
      <c r="Z28">
        <f>(V28-BH28*(BM28+BN28)/1000)</f>
        <v>0</v>
      </c>
      <c r="AA28">
        <f>(-H28*44100)</f>
        <v>0</v>
      </c>
      <c r="AB28">
        <f>2*29.3*P28*0.92*(BO28-U28)</f>
        <v>0</v>
      </c>
      <c r="AC28">
        <f>2*0.95*5.67E-8*(((BO28+$B$7)+273)^4-(U28+273)^4)</f>
        <v>0</v>
      </c>
      <c r="AD28">
        <f>S28+AC28+AA28+AB28</f>
        <v>0</v>
      </c>
      <c r="AE28">
        <f>BL28*AS28*(BG28-BF28*(1000-AS28*BI28)/(1000-AS28*BH28))/(100*AZ28)</f>
        <v>0</v>
      </c>
      <c r="AF28">
        <f>1000*BL28*AS28*(BH28-BI28)/(100*AZ28*(1000-AS28*BH28))</f>
        <v>0</v>
      </c>
      <c r="AG28">
        <f>(AH28 - AI28 - BM28*1E3/(8.314*(BO28+273.15)) * AK28/BL28 * AJ28) * BL28/(100*AZ28) * (1000 - BI28)/1000</f>
        <v>0</v>
      </c>
      <c r="AH28">
        <v>410.9373504445256</v>
      </c>
      <c r="AI28">
        <v>410.8360666666668</v>
      </c>
      <c r="AJ28">
        <v>0.003607507275573012</v>
      </c>
      <c r="AK28">
        <v>66.96231270084482</v>
      </c>
      <c r="AL28">
        <f>(AN28 - AM28 + BM28*1E3/(8.314*(BO28+273.15)) * AP28/BL28 * AO28) * BL28/(100*AZ28) * 1000/(1000 - AN28)</f>
        <v>0</v>
      </c>
      <c r="AM28">
        <v>14.56602659206591</v>
      </c>
      <c r="AN28">
        <v>15.46982787878787</v>
      </c>
      <c r="AO28">
        <v>0.003962180716305793</v>
      </c>
      <c r="AP28">
        <v>79.16527873532571</v>
      </c>
      <c r="AQ28">
        <v>168</v>
      </c>
      <c r="AR28">
        <v>21</v>
      </c>
      <c r="AS28">
        <f>IF(AQ28*$H$13&gt;=AU28,1.0,(AU28/(AU28-AQ28*$H$13)))</f>
        <v>0</v>
      </c>
      <c r="AT28">
        <f>(AS28-1)*100</f>
        <v>0</v>
      </c>
      <c r="AU28">
        <f>MAX(0,($B$13+$C$13*BT28)/(1+$D$13*BT28)*BM28/(BO28+273)*$E$13)</f>
        <v>0</v>
      </c>
      <c r="AV28">
        <f>$B$11*BU28+$C$11*BV28+$F$11*CG28*(1-CJ28)</f>
        <v>0</v>
      </c>
      <c r="AW28">
        <f>AV28*AX28</f>
        <v>0</v>
      </c>
      <c r="AX28">
        <f>($B$11*$D$9+$C$11*$D$9+$F$11*((CT28+CL28)/MAX(CT28+CL28+CU28, 0.1)*$I$9+CU28/MAX(CT28+CL28+CU28, 0.1)*$J$9))/($B$11+$C$11+$F$11)</f>
        <v>0</v>
      </c>
      <c r="AY28">
        <f>($B$11*$K$9+$C$11*$K$9+$F$11*((CT28+CL28)/MAX(CT28+CL28+CU28, 0.1)*$P$9+CU28/MAX(CT28+CL28+CU28, 0.1)*$Q$9))/($B$11+$C$11+$F$11)</f>
        <v>0</v>
      </c>
      <c r="AZ28">
        <v>6</v>
      </c>
      <c r="BA28">
        <v>0.5</v>
      </c>
      <c r="BB28" t="s">
        <v>353</v>
      </c>
      <c r="BC28">
        <v>2</v>
      </c>
      <c r="BD28" t="b">
        <v>0</v>
      </c>
      <c r="BE28">
        <v>1750697824</v>
      </c>
      <c r="BF28">
        <v>404.4318387096774</v>
      </c>
      <c r="BG28">
        <v>404.9555483870968</v>
      </c>
      <c r="BH28">
        <v>15.37317096774194</v>
      </c>
      <c r="BI28">
        <v>14.52965483870968</v>
      </c>
      <c r="BJ28">
        <v>402.1968387096774</v>
      </c>
      <c r="BK28">
        <v>15.27817096774194</v>
      </c>
      <c r="BL28">
        <v>799.9781612903228</v>
      </c>
      <c r="BM28">
        <v>101.4228387096774</v>
      </c>
      <c r="BN28">
        <v>0.1003687741935484</v>
      </c>
      <c r="BO28">
        <v>23.36266451612903</v>
      </c>
      <c r="BP28">
        <v>22.42409677419355</v>
      </c>
      <c r="BQ28">
        <v>999.9000000000003</v>
      </c>
      <c r="BR28">
        <v>0</v>
      </c>
      <c r="BS28">
        <v>0</v>
      </c>
      <c r="BT28">
        <v>9988.100322580647</v>
      </c>
      <c r="BU28">
        <v>0</v>
      </c>
      <c r="BV28">
        <v>0.00152894</v>
      </c>
      <c r="BW28">
        <v>-0.502400064516129</v>
      </c>
      <c r="BX28">
        <v>410.7860967741934</v>
      </c>
      <c r="BY28">
        <v>410.9261935483871</v>
      </c>
      <c r="BZ28">
        <v>0.8867265806451613</v>
      </c>
      <c r="CA28">
        <v>404.9555483870968</v>
      </c>
      <c r="CB28">
        <v>14.52965483870968</v>
      </c>
      <c r="CC28">
        <v>1.563574193548388</v>
      </c>
      <c r="CD28">
        <v>1.473640322580645</v>
      </c>
      <c r="CE28">
        <v>13.60438064516129</v>
      </c>
      <c r="CF28">
        <v>12.69731290322581</v>
      </c>
      <c r="CG28">
        <v>999.9743870967743</v>
      </c>
      <c r="CH28">
        <v>0.9600038387096775</v>
      </c>
      <c r="CI28">
        <v>0.03999644193548387</v>
      </c>
      <c r="CJ28">
        <v>0</v>
      </c>
      <c r="CK28">
        <v>1.422903225806452</v>
      </c>
      <c r="CL28">
        <v>0</v>
      </c>
      <c r="CM28">
        <v>5104.693870967742</v>
      </c>
      <c r="CN28">
        <v>7946.721290322581</v>
      </c>
      <c r="CO28">
        <v>37.78399999999998</v>
      </c>
      <c r="CP28">
        <v>40.98167741935483</v>
      </c>
      <c r="CQ28">
        <v>39.23367741935483</v>
      </c>
      <c r="CR28">
        <v>40.63480645161288</v>
      </c>
      <c r="CS28">
        <v>37.81416129032258</v>
      </c>
      <c r="CT28">
        <v>959.9793548387098</v>
      </c>
      <c r="CU28">
        <v>39.99580645161291</v>
      </c>
      <c r="CV28">
        <v>0</v>
      </c>
      <c r="CW28">
        <v>1750697849</v>
      </c>
      <c r="CX28">
        <v>0</v>
      </c>
      <c r="CY28">
        <v>1750697854.5</v>
      </c>
      <c r="CZ28" t="s">
        <v>392</v>
      </c>
      <c r="DA28">
        <v>1750697848</v>
      </c>
      <c r="DB28">
        <v>1750697854.5</v>
      </c>
      <c r="DC28">
        <v>11</v>
      </c>
      <c r="DD28">
        <v>-0.021</v>
      </c>
      <c r="DE28">
        <v>-0.022</v>
      </c>
      <c r="DF28">
        <v>2.235</v>
      </c>
      <c r="DG28">
        <v>0.095</v>
      </c>
      <c r="DH28">
        <v>405</v>
      </c>
      <c r="DI28">
        <v>15</v>
      </c>
      <c r="DJ28">
        <v>0.36</v>
      </c>
      <c r="DK28">
        <v>0.12</v>
      </c>
      <c r="DL28">
        <v>-0.4891983170731708</v>
      </c>
      <c r="DM28">
        <v>-0.1343660069686405</v>
      </c>
      <c r="DN28">
        <v>0.03427385634279839</v>
      </c>
      <c r="DO28">
        <v>0</v>
      </c>
      <c r="DP28">
        <v>0.9023159756097561</v>
      </c>
      <c r="DQ28">
        <v>-0.1993367038327525</v>
      </c>
      <c r="DR28">
        <v>0.02836244229953632</v>
      </c>
      <c r="DS28">
        <v>0</v>
      </c>
      <c r="DT28">
        <v>0</v>
      </c>
      <c r="DU28">
        <v>2</v>
      </c>
      <c r="DV28" t="s">
        <v>372</v>
      </c>
      <c r="DW28">
        <v>3.44814</v>
      </c>
      <c r="DX28">
        <v>2.78131</v>
      </c>
      <c r="DY28">
        <v>0.09800250000000001</v>
      </c>
      <c r="DZ28">
        <v>0.0984467</v>
      </c>
      <c r="EA28">
        <v>0.0876424</v>
      </c>
      <c r="EB28">
        <v>0.08381180000000001</v>
      </c>
      <c r="EC28">
        <v>27308.9</v>
      </c>
      <c r="ED28">
        <v>31056.8</v>
      </c>
      <c r="EE28">
        <v>29398.8</v>
      </c>
      <c r="EF28">
        <v>35025.8</v>
      </c>
      <c r="EG28">
        <v>31013.7</v>
      </c>
      <c r="EH28">
        <v>39850</v>
      </c>
      <c r="EI28">
        <v>36186.6</v>
      </c>
      <c r="EJ28">
        <v>46382.3</v>
      </c>
      <c r="EK28">
        <v>2.28515</v>
      </c>
      <c r="EL28">
        <v>2.30923</v>
      </c>
      <c r="EM28">
        <v>0.08730590000000001</v>
      </c>
      <c r="EN28">
        <v>0</v>
      </c>
      <c r="EO28">
        <v>21.0251</v>
      </c>
      <c r="EP28">
        <v>999.9</v>
      </c>
      <c r="EQ28">
        <v>66</v>
      </c>
      <c r="ER28">
        <v>23.3</v>
      </c>
      <c r="ES28">
        <v>18.6843</v>
      </c>
      <c r="ET28">
        <v>61.6082</v>
      </c>
      <c r="EU28">
        <v>26.0938</v>
      </c>
      <c r="EV28">
        <v>2</v>
      </c>
      <c r="EW28">
        <v>-0.473003</v>
      </c>
      <c r="EX28">
        <v>0</v>
      </c>
      <c r="EY28">
        <v>20.2938</v>
      </c>
      <c r="EZ28">
        <v>5.2086</v>
      </c>
      <c r="FA28">
        <v>11.9682</v>
      </c>
      <c r="FB28">
        <v>4.99055</v>
      </c>
      <c r="FC28">
        <v>3.27125</v>
      </c>
      <c r="FD28">
        <v>2717.6</v>
      </c>
      <c r="FE28">
        <v>9999</v>
      </c>
      <c r="FF28">
        <v>9999</v>
      </c>
      <c r="FG28">
        <v>999.9</v>
      </c>
      <c r="FH28">
        <v>4.97259</v>
      </c>
      <c r="FI28">
        <v>1.86249</v>
      </c>
      <c r="FJ28">
        <v>1.86417</v>
      </c>
      <c r="FK28">
        <v>1.86263</v>
      </c>
      <c r="FL28">
        <v>1.86264</v>
      </c>
      <c r="FM28">
        <v>1.86325</v>
      </c>
      <c r="FN28">
        <v>1.85974</v>
      </c>
      <c r="FO28">
        <v>1.86249</v>
      </c>
      <c r="FP28">
        <v>0</v>
      </c>
      <c r="FQ28">
        <v>0</v>
      </c>
      <c r="FR28">
        <v>0</v>
      </c>
      <c r="FS28">
        <v>0</v>
      </c>
      <c r="FT28" t="s">
        <v>356</v>
      </c>
      <c r="FU28" t="s">
        <v>357</v>
      </c>
      <c r="FV28" t="s">
        <v>358</v>
      </c>
      <c r="FW28" t="s">
        <v>358</v>
      </c>
      <c r="FX28" t="s">
        <v>358</v>
      </c>
      <c r="FY28" t="s">
        <v>358</v>
      </c>
      <c r="FZ28">
        <v>0</v>
      </c>
      <c r="GA28">
        <v>100</v>
      </c>
      <c r="GB28">
        <v>100</v>
      </c>
      <c r="GC28">
        <v>2.235</v>
      </c>
      <c r="GD28">
        <v>0.095</v>
      </c>
      <c r="GE28">
        <v>2.53922260037687</v>
      </c>
      <c r="GF28">
        <v>-0.001033730503750798</v>
      </c>
      <c r="GG28">
        <v>9.120241388950126E-07</v>
      </c>
      <c r="GH28">
        <v>-2.246115299815222E-10</v>
      </c>
      <c r="GI28">
        <v>-0.004758437865712145</v>
      </c>
      <c r="GJ28">
        <v>-0.01814858093373864</v>
      </c>
      <c r="GK28">
        <v>0.002091959988359369</v>
      </c>
      <c r="GL28">
        <v>-1.90871700788604E-05</v>
      </c>
      <c r="GM28">
        <v>2</v>
      </c>
      <c r="GN28">
        <v>2210</v>
      </c>
      <c r="GO28">
        <v>1</v>
      </c>
      <c r="GP28">
        <v>26</v>
      </c>
      <c r="GQ28">
        <v>1.8</v>
      </c>
      <c r="GR28">
        <v>11.9</v>
      </c>
      <c r="GS28">
        <v>1.26099</v>
      </c>
      <c r="GT28">
        <v>2.37549</v>
      </c>
      <c r="GU28">
        <v>2.34863</v>
      </c>
      <c r="GV28">
        <v>2.76367</v>
      </c>
      <c r="GW28">
        <v>2.39868</v>
      </c>
      <c r="GX28">
        <v>2.23633</v>
      </c>
      <c r="GY28">
        <v>28.6479</v>
      </c>
      <c r="GZ28">
        <v>14.027</v>
      </c>
      <c r="HA28">
        <v>18</v>
      </c>
      <c r="HB28">
        <v>602.175</v>
      </c>
      <c r="HC28">
        <v>672.273</v>
      </c>
      <c r="HD28">
        <v>22.5146</v>
      </c>
      <c r="HE28">
        <v>21.3048</v>
      </c>
      <c r="HF28">
        <v>29.9995</v>
      </c>
      <c r="HG28">
        <v>21.2005</v>
      </c>
      <c r="HH28">
        <v>21.1522</v>
      </c>
      <c r="HI28">
        <v>25.2974</v>
      </c>
      <c r="HJ28">
        <v>25.7438</v>
      </c>
      <c r="HK28">
        <v>58.2512</v>
      </c>
      <c r="HL28">
        <v>-999.9</v>
      </c>
      <c r="HM28">
        <v>405</v>
      </c>
      <c r="HN28">
        <v>14.7319</v>
      </c>
      <c r="HO28">
        <v>100.934</v>
      </c>
      <c r="HP28">
        <v>101.259</v>
      </c>
    </row>
    <row r="29" spans="1:224">
      <c r="A29">
        <v>13</v>
      </c>
      <c r="B29">
        <v>1750697883.5</v>
      </c>
      <c r="C29">
        <v>3020.400000095367</v>
      </c>
      <c r="D29" t="s">
        <v>393</v>
      </c>
      <c r="E29" t="s">
        <v>394</v>
      </c>
      <c r="F29">
        <v>15</v>
      </c>
      <c r="G29">
        <v>1750697875.5</v>
      </c>
      <c r="H29">
        <f>(I29)/1000</f>
        <v>0</v>
      </c>
      <c r="I29">
        <f>IF(BD29, AL29, AF29)</f>
        <v>0</v>
      </c>
      <c r="J29">
        <f>IF(BD29, AG29, AE29)</f>
        <v>0</v>
      </c>
      <c r="K29">
        <f>BF29 - IF(AS29&gt;1, J29*AZ29*100.0/(AU29), 0)</f>
        <v>0</v>
      </c>
      <c r="L29">
        <f>((R29-H29/2)*K29-J29)/(R29+H29/2)</f>
        <v>0</v>
      </c>
      <c r="M29">
        <f>L29*(BM29+BN29)/1000.0</f>
        <v>0</v>
      </c>
      <c r="N29">
        <f>(BF29 - IF(AS29&gt;1, J29*AZ29*100.0/(AU29), 0))*(BM29+BN29)/1000.0</f>
        <v>0</v>
      </c>
      <c r="O29">
        <f>2.0/((1/Q29-1/P29)+SIGN(Q29)*SQRT((1/Q29-1/P29)*(1/Q29-1/P29) + 4*BA29/((BA29+1)*(BA29+1))*(2*1/Q29*1/P29-1/P29*1/P29)))</f>
        <v>0</v>
      </c>
      <c r="P29">
        <f>IF(LEFT(BB29,1)&lt;&gt;"0",IF(LEFT(BB29,1)="1",3.0,BC29),$D$5+$E$5*(BT29*BM29/($K$5*1000))+$F$5*(BT29*BM29/($K$5*1000))*MAX(MIN(AZ29,$J$5),$I$5)*MAX(MIN(AZ29,$J$5),$I$5)+$G$5*MAX(MIN(AZ29,$J$5),$I$5)*(BT29*BM29/($K$5*1000))+$H$5*(BT29*BM29/($K$5*1000))*(BT29*BM29/($K$5*1000)))</f>
        <v>0</v>
      </c>
      <c r="Q29">
        <f>H29*(1000-(1000*0.61365*exp(17.502*U29/(240.97+U29))/(BM29+BN29)+BH29)/2)/(1000*0.61365*exp(17.502*U29/(240.97+U29))/(BM29+BN29)-BH29)</f>
        <v>0</v>
      </c>
      <c r="R29">
        <f>1/((BA29+1)/(O29/1.6)+1/(P29/1.37)) + BA29/((BA29+1)/(O29/1.6) + BA29/(P29/1.37))</f>
        <v>0</v>
      </c>
      <c r="S29">
        <f>(AV29*AY29)</f>
        <v>0</v>
      </c>
      <c r="T29">
        <f>(BO29+(S29+2*0.95*5.67E-8*(((BO29+$B$7)+273)^4-(BO29+273)^4)-44100*H29)/(1.84*29.3*P29+8*0.95*5.67E-8*(BO29+273)^3))</f>
        <v>0</v>
      </c>
      <c r="U29">
        <f>($C$7*BP29+$D$7*BQ29+$E$7*T29)</f>
        <v>0</v>
      </c>
      <c r="V29">
        <f>0.61365*exp(17.502*U29/(240.97+U29))</f>
        <v>0</v>
      </c>
      <c r="W29">
        <f>(X29/Y29*100)</f>
        <v>0</v>
      </c>
      <c r="X29">
        <f>BH29*(BM29+BN29)/1000</f>
        <v>0</v>
      </c>
      <c r="Y29">
        <f>0.61365*exp(17.502*BO29/(240.97+BO29))</f>
        <v>0</v>
      </c>
      <c r="Z29">
        <f>(V29-BH29*(BM29+BN29)/1000)</f>
        <v>0</v>
      </c>
      <c r="AA29">
        <f>(-H29*44100)</f>
        <v>0</v>
      </c>
      <c r="AB29">
        <f>2*29.3*P29*0.92*(BO29-U29)</f>
        <v>0</v>
      </c>
      <c r="AC29">
        <f>2*0.95*5.67E-8*(((BO29+$B$7)+273)^4-(U29+273)^4)</f>
        <v>0</v>
      </c>
      <c r="AD29">
        <f>S29+AC29+AA29+AB29</f>
        <v>0</v>
      </c>
      <c r="AE29">
        <f>BL29*AS29*(BG29-BF29*(1000-AS29*BI29)/(1000-AS29*BH29))/(100*AZ29)</f>
        <v>0</v>
      </c>
      <c r="AF29">
        <f>1000*BL29*AS29*(BH29-BI29)/(100*AZ29*(1000-AS29*BH29))</f>
        <v>0</v>
      </c>
      <c r="AG29">
        <f>(AH29 - AI29 - BM29*1E3/(8.314*(BO29+273.15)) * AK29/BL29 * AJ29) * BL29/(100*AZ29) * (1000 - BI29)/1000</f>
        <v>0</v>
      </c>
      <c r="AH29">
        <v>411.1488884208101</v>
      </c>
      <c r="AI29">
        <v>410.9467515151513</v>
      </c>
      <c r="AJ29">
        <v>-0.005128227419065474</v>
      </c>
      <c r="AK29">
        <v>66.95463991806302</v>
      </c>
      <c r="AL29">
        <f>(AN29 - AM29 + BM29*1E3/(8.314*(BO29+273.15)) * AP29/BL29 * AO29) * BL29/(100*AZ29) * 1000/(1000 - AN29)</f>
        <v>0</v>
      </c>
      <c r="AM29">
        <v>14.98579016340626</v>
      </c>
      <c r="AN29">
        <v>15.6515903030303</v>
      </c>
      <c r="AO29">
        <v>5.810806325991523E-05</v>
      </c>
      <c r="AP29">
        <v>79.1486203404267</v>
      </c>
      <c r="AQ29">
        <v>157</v>
      </c>
      <c r="AR29">
        <v>20</v>
      </c>
      <c r="AS29">
        <f>IF(AQ29*$H$13&gt;=AU29,1.0,(AU29/(AU29-AQ29*$H$13)))</f>
        <v>0</v>
      </c>
      <c r="AT29">
        <f>(AS29-1)*100</f>
        <v>0</v>
      </c>
      <c r="AU29">
        <f>MAX(0,($B$13+$C$13*BT29)/(1+$D$13*BT29)*BM29/(BO29+273)*$E$13)</f>
        <v>0</v>
      </c>
      <c r="AV29">
        <f>$B$11*BU29+$C$11*BV29+$F$11*CG29*(1-CJ29)</f>
        <v>0</v>
      </c>
      <c r="AW29">
        <f>AV29*AX29</f>
        <v>0</v>
      </c>
      <c r="AX29">
        <f>($B$11*$D$9+$C$11*$D$9+$F$11*((CT29+CL29)/MAX(CT29+CL29+CU29, 0.1)*$I$9+CU29/MAX(CT29+CL29+CU29, 0.1)*$J$9))/($B$11+$C$11+$F$11)</f>
        <v>0</v>
      </c>
      <c r="AY29">
        <f>($B$11*$K$9+$C$11*$K$9+$F$11*((CT29+CL29)/MAX(CT29+CL29+CU29, 0.1)*$P$9+CU29/MAX(CT29+CL29+CU29, 0.1)*$Q$9))/($B$11+$C$11+$F$11)</f>
        <v>0</v>
      </c>
      <c r="AZ29">
        <v>6</v>
      </c>
      <c r="BA29">
        <v>0.5</v>
      </c>
      <c r="BB29" t="s">
        <v>353</v>
      </c>
      <c r="BC29">
        <v>2</v>
      </c>
      <c r="BD29" t="b">
        <v>0</v>
      </c>
      <c r="BE29">
        <v>1750697875.5</v>
      </c>
      <c r="BF29">
        <v>404.5368709677419</v>
      </c>
      <c r="BG29">
        <v>404.9793548387097</v>
      </c>
      <c r="BH29">
        <v>15.6261064516129</v>
      </c>
      <c r="BI29">
        <v>14.97849677419355</v>
      </c>
      <c r="BJ29">
        <v>402.281870967742</v>
      </c>
      <c r="BK29">
        <v>15.5191064516129</v>
      </c>
      <c r="BL29">
        <v>799.8827096774194</v>
      </c>
      <c r="BM29">
        <v>101.4201290322581</v>
      </c>
      <c r="BN29">
        <v>0.09941820322580645</v>
      </c>
      <c r="BO29">
        <v>23.49541290322581</v>
      </c>
      <c r="BP29">
        <v>22.56397096774193</v>
      </c>
      <c r="BQ29">
        <v>999.9000000000003</v>
      </c>
      <c r="BR29">
        <v>0</v>
      </c>
      <c r="BS29">
        <v>0</v>
      </c>
      <c r="BT29">
        <v>9991.696451612905</v>
      </c>
      <c r="BU29">
        <v>0</v>
      </c>
      <c r="BV29">
        <v>0.00152894</v>
      </c>
      <c r="BW29">
        <v>-0.4623442258064516</v>
      </c>
      <c r="BX29">
        <v>410.9456451612903</v>
      </c>
      <c r="BY29">
        <v>411.1377096774194</v>
      </c>
      <c r="BZ29">
        <v>0.6649685161290323</v>
      </c>
      <c r="CA29">
        <v>404.9793548387097</v>
      </c>
      <c r="CB29">
        <v>14.97849677419355</v>
      </c>
      <c r="CC29">
        <v>1.586562580645162</v>
      </c>
      <c r="CD29">
        <v>1.519121290322581</v>
      </c>
      <c r="CE29">
        <v>13.82890967741935</v>
      </c>
      <c r="CF29">
        <v>13.16198064516129</v>
      </c>
      <c r="CG29">
        <v>999.9714516129033</v>
      </c>
      <c r="CH29">
        <v>0.9600052903225808</v>
      </c>
      <c r="CI29">
        <v>0.03999493548387097</v>
      </c>
      <c r="CJ29">
        <v>0</v>
      </c>
      <c r="CK29">
        <v>2.91725806451613</v>
      </c>
      <c r="CL29">
        <v>0</v>
      </c>
      <c r="CM29">
        <v>5029.152903225805</v>
      </c>
      <c r="CN29">
        <v>7946.709354838709</v>
      </c>
      <c r="CO29">
        <v>38.17312903225806</v>
      </c>
      <c r="CP29">
        <v>41.25596774193546</v>
      </c>
      <c r="CQ29">
        <v>39.60258064516128</v>
      </c>
      <c r="CR29">
        <v>41.03199999999998</v>
      </c>
      <c r="CS29">
        <v>38.16906451612903</v>
      </c>
      <c r="CT29">
        <v>959.9780645161289</v>
      </c>
      <c r="CU29">
        <v>39.99096774193548</v>
      </c>
      <c r="CV29">
        <v>0</v>
      </c>
      <c r="CW29">
        <v>1750697900</v>
      </c>
      <c r="CX29">
        <v>0</v>
      </c>
      <c r="CY29">
        <v>1750697902.5</v>
      </c>
      <c r="CZ29" t="s">
        <v>395</v>
      </c>
      <c r="DA29">
        <v>1750697902.5</v>
      </c>
      <c r="DB29">
        <v>1750697901.5</v>
      </c>
      <c r="DC29">
        <v>12</v>
      </c>
      <c r="DD29">
        <v>0.02</v>
      </c>
      <c r="DE29">
        <v>0.002</v>
      </c>
      <c r="DF29">
        <v>2.255</v>
      </c>
      <c r="DG29">
        <v>0.107</v>
      </c>
      <c r="DH29">
        <v>405</v>
      </c>
      <c r="DI29">
        <v>15</v>
      </c>
      <c r="DJ29">
        <v>0.37</v>
      </c>
      <c r="DK29">
        <v>0.14</v>
      </c>
      <c r="DL29">
        <v>-0.4656580487804879</v>
      </c>
      <c r="DM29">
        <v>0.1243346132404178</v>
      </c>
      <c r="DN29">
        <v>0.03102319527893111</v>
      </c>
      <c r="DO29">
        <v>0</v>
      </c>
      <c r="DP29">
        <v>0.6571997560975611</v>
      </c>
      <c r="DQ29">
        <v>0.1205349825783978</v>
      </c>
      <c r="DR29">
        <v>0.01703700179849656</v>
      </c>
      <c r="DS29">
        <v>0</v>
      </c>
      <c r="DT29">
        <v>0</v>
      </c>
      <c r="DU29">
        <v>2</v>
      </c>
      <c r="DV29" t="s">
        <v>372</v>
      </c>
      <c r="DW29">
        <v>3.44823</v>
      </c>
      <c r="DX29">
        <v>2.78053</v>
      </c>
      <c r="DY29">
        <v>0.0980289</v>
      </c>
      <c r="DZ29">
        <v>0.09847069999999999</v>
      </c>
      <c r="EA29">
        <v>0.0884804</v>
      </c>
      <c r="EB29">
        <v>0.08548409999999999</v>
      </c>
      <c r="EC29">
        <v>27311.7</v>
      </c>
      <c r="ED29">
        <v>31059.6</v>
      </c>
      <c r="EE29">
        <v>29402.3</v>
      </c>
      <c r="EF29">
        <v>35029.4</v>
      </c>
      <c r="EG29">
        <v>30988.8</v>
      </c>
      <c r="EH29">
        <v>39781.1</v>
      </c>
      <c r="EI29">
        <v>36191.6</v>
      </c>
      <c r="EJ29">
        <v>46387.2</v>
      </c>
      <c r="EK29">
        <v>2.3059</v>
      </c>
      <c r="EL29">
        <v>2.31023</v>
      </c>
      <c r="EM29">
        <v>0.082843</v>
      </c>
      <c r="EN29">
        <v>0</v>
      </c>
      <c r="EO29">
        <v>21.2213</v>
      </c>
      <c r="EP29">
        <v>999.9</v>
      </c>
      <c r="EQ29">
        <v>65.90000000000001</v>
      </c>
      <c r="ER29">
        <v>23.3</v>
      </c>
      <c r="ES29">
        <v>18.6575</v>
      </c>
      <c r="ET29">
        <v>61.6082</v>
      </c>
      <c r="EU29">
        <v>26.1098</v>
      </c>
      <c r="EV29">
        <v>2</v>
      </c>
      <c r="EW29">
        <v>-0.478908</v>
      </c>
      <c r="EX29">
        <v>0</v>
      </c>
      <c r="EY29">
        <v>20.2944</v>
      </c>
      <c r="EZ29">
        <v>5.21235</v>
      </c>
      <c r="FA29">
        <v>11.968</v>
      </c>
      <c r="FB29">
        <v>4.99185</v>
      </c>
      <c r="FC29">
        <v>3.272</v>
      </c>
      <c r="FD29">
        <v>2719.1</v>
      </c>
      <c r="FE29">
        <v>9999</v>
      </c>
      <c r="FF29">
        <v>9999</v>
      </c>
      <c r="FG29">
        <v>999.9</v>
      </c>
      <c r="FH29">
        <v>4.97262</v>
      </c>
      <c r="FI29">
        <v>1.86249</v>
      </c>
      <c r="FJ29">
        <v>1.86417</v>
      </c>
      <c r="FK29">
        <v>1.86264</v>
      </c>
      <c r="FL29">
        <v>1.86264</v>
      </c>
      <c r="FM29">
        <v>1.86325</v>
      </c>
      <c r="FN29">
        <v>1.85974</v>
      </c>
      <c r="FO29">
        <v>1.86253</v>
      </c>
      <c r="FP29">
        <v>0</v>
      </c>
      <c r="FQ29">
        <v>0</v>
      </c>
      <c r="FR29">
        <v>0</v>
      </c>
      <c r="FS29">
        <v>0</v>
      </c>
      <c r="FT29" t="s">
        <v>356</v>
      </c>
      <c r="FU29" t="s">
        <v>357</v>
      </c>
      <c r="FV29" t="s">
        <v>358</v>
      </c>
      <c r="FW29" t="s">
        <v>358</v>
      </c>
      <c r="FX29" t="s">
        <v>358</v>
      </c>
      <c r="FY29" t="s">
        <v>358</v>
      </c>
      <c r="FZ29">
        <v>0</v>
      </c>
      <c r="GA29">
        <v>100</v>
      </c>
      <c r="GB29">
        <v>100</v>
      </c>
      <c r="GC29">
        <v>2.255</v>
      </c>
      <c r="GD29">
        <v>0.107</v>
      </c>
      <c r="GE29">
        <v>2.518079665373861</v>
      </c>
      <c r="GF29">
        <v>-0.001033730503750798</v>
      </c>
      <c r="GG29">
        <v>9.120241388950126E-07</v>
      </c>
      <c r="GH29">
        <v>-2.246115299815222E-10</v>
      </c>
      <c r="GI29">
        <v>-0.02646664496402482</v>
      </c>
      <c r="GJ29">
        <v>-0.01814858093373864</v>
      </c>
      <c r="GK29">
        <v>0.002091959988359369</v>
      </c>
      <c r="GL29">
        <v>-1.90871700788604E-05</v>
      </c>
      <c r="GM29">
        <v>2</v>
      </c>
      <c r="GN29">
        <v>2210</v>
      </c>
      <c r="GO29">
        <v>1</v>
      </c>
      <c r="GP29">
        <v>26</v>
      </c>
      <c r="GQ29">
        <v>0.6</v>
      </c>
      <c r="GR29">
        <v>0.5</v>
      </c>
      <c r="GS29">
        <v>1.26221</v>
      </c>
      <c r="GT29">
        <v>2.36938</v>
      </c>
      <c r="GU29">
        <v>2.34741</v>
      </c>
      <c r="GV29">
        <v>2.76245</v>
      </c>
      <c r="GW29">
        <v>2.39868</v>
      </c>
      <c r="GX29">
        <v>2.25708</v>
      </c>
      <c r="GY29">
        <v>28.6269</v>
      </c>
      <c r="GZ29">
        <v>14.0182</v>
      </c>
      <c r="HA29">
        <v>18</v>
      </c>
      <c r="HB29">
        <v>615.279</v>
      </c>
      <c r="HC29">
        <v>672.093</v>
      </c>
      <c r="HD29">
        <v>22.5161</v>
      </c>
      <c r="HE29">
        <v>21.2149</v>
      </c>
      <c r="HF29">
        <v>29.9995</v>
      </c>
      <c r="HG29">
        <v>21.1234</v>
      </c>
      <c r="HH29">
        <v>21.0783</v>
      </c>
      <c r="HI29">
        <v>25.3056</v>
      </c>
      <c r="HJ29">
        <v>24.4887</v>
      </c>
      <c r="HK29">
        <v>58.2512</v>
      </c>
      <c r="HL29">
        <v>-999.9</v>
      </c>
      <c r="HM29">
        <v>405</v>
      </c>
      <c r="HN29">
        <v>14.9805</v>
      </c>
      <c r="HO29">
        <v>100.947</v>
      </c>
      <c r="HP29">
        <v>101.269</v>
      </c>
    </row>
    <row r="30" spans="1:224">
      <c r="A30">
        <v>14</v>
      </c>
      <c r="B30">
        <v>1750698074.5</v>
      </c>
      <c r="C30">
        <v>3211.400000095367</v>
      </c>
      <c r="D30" t="s">
        <v>396</v>
      </c>
      <c r="E30" t="s">
        <v>397</v>
      </c>
      <c r="F30">
        <v>15</v>
      </c>
      <c r="G30">
        <v>1750698066.5</v>
      </c>
      <c r="H30">
        <f>(I30)/1000</f>
        <v>0</v>
      </c>
      <c r="I30">
        <f>IF(BD30, AL30, AF30)</f>
        <v>0</v>
      </c>
      <c r="J30">
        <f>IF(BD30, AG30, AE30)</f>
        <v>0</v>
      </c>
      <c r="K30">
        <f>BF30 - IF(AS30&gt;1, J30*AZ30*100.0/(AU30), 0)</f>
        <v>0</v>
      </c>
      <c r="L30">
        <f>((R30-H30/2)*K30-J30)/(R30+H30/2)</f>
        <v>0</v>
      </c>
      <c r="M30">
        <f>L30*(BM30+BN30)/1000.0</f>
        <v>0</v>
      </c>
      <c r="N30">
        <f>(BF30 - IF(AS30&gt;1, J30*AZ30*100.0/(AU30), 0))*(BM30+BN30)/1000.0</f>
        <v>0</v>
      </c>
      <c r="O30">
        <f>2.0/((1/Q30-1/P30)+SIGN(Q30)*SQRT((1/Q30-1/P30)*(1/Q30-1/P30) + 4*BA30/((BA30+1)*(BA30+1))*(2*1/Q30*1/P30-1/P30*1/P30)))</f>
        <v>0</v>
      </c>
      <c r="P30">
        <f>IF(LEFT(BB30,1)&lt;&gt;"0",IF(LEFT(BB30,1)="1",3.0,BC30),$D$5+$E$5*(BT30*BM30/($K$5*1000))+$F$5*(BT30*BM30/($K$5*1000))*MAX(MIN(AZ30,$J$5),$I$5)*MAX(MIN(AZ30,$J$5),$I$5)+$G$5*MAX(MIN(AZ30,$J$5),$I$5)*(BT30*BM30/($K$5*1000))+$H$5*(BT30*BM30/($K$5*1000))*(BT30*BM30/($K$5*1000)))</f>
        <v>0</v>
      </c>
      <c r="Q30">
        <f>H30*(1000-(1000*0.61365*exp(17.502*U30/(240.97+U30))/(BM30+BN30)+BH30)/2)/(1000*0.61365*exp(17.502*U30/(240.97+U30))/(BM30+BN30)-BH30)</f>
        <v>0</v>
      </c>
      <c r="R30">
        <f>1/((BA30+1)/(O30/1.6)+1/(P30/1.37)) + BA30/((BA30+1)/(O30/1.6) + BA30/(P30/1.37))</f>
        <v>0</v>
      </c>
      <c r="S30">
        <f>(AV30*AY30)</f>
        <v>0</v>
      </c>
      <c r="T30">
        <f>(BO30+(S30+2*0.95*5.67E-8*(((BO30+$B$7)+273)^4-(BO30+273)^4)-44100*H30)/(1.84*29.3*P30+8*0.95*5.67E-8*(BO30+273)^3))</f>
        <v>0</v>
      </c>
      <c r="U30">
        <f>($C$7*BP30+$D$7*BQ30+$E$7*T30)</f>
        <v>0</v>
      </c>
      <c r="V30">
        <f>0.61365*exp(17.502*U30/(240.97+U30))</f>
        <v>0</v>
      </c>
      <c r="W30">
        <f>(X30/Y30*100)</f>
        <v>0</v>
      </c>
      <c r="X30">
        <f>BH30*(BM30+BN30)/1000</f>
        <v>0</v>
      </c>
      <c r="Y30">
        <f>0.61365*exp(17.502*BO30/(240.97+BO30))</f>
        <v>0</v>
      </c>
      <c r="Z30">
        <f>(V30-BH30*(BM30+BN30)/1000)</f>
        <v>0</v>
      </c>
      <c r="AA30">
        <f>(-H30*44100)</f>
        <v>0</v>
      </c>
      <c r="AB30">
        <f>2*29.3*P30*0.92*(BO30-U30)</f>
        <v>0</v>
      </c>
      <c r="AC30">
        <f>2*0.95*5.67E-8*(((BO30+$B$7)+273)^4-(U30+273)^4)</f>
        <v>0</v>
      </c>
      <c r="AD30">
        <f>S30+AC30+AA30+AB30</f>
        <v>0</v>
      </c>
      <c r="AE30">
        <f>BL30*AS30*(BG30-BF30*(1000-AS30*BI30)/(1000-AS30*BH30))/(100*AZ30)</f>
        <v>0</v>
      </c>
      <c r="AF30">
        <f>1000*BL30*AS30*(BH30-BI30)/(100*AZ30*(1000-AS30*BH30))</f>
        <v>0</v>
      </c>
      <c r="AG30">
        <f>(AH30 - AI30 - BM30*1E3/(8.314*(BO30+273.15)) * AK30/BL30 * AJ30) * BL30/(100*AZ30) * (1000 - BI30)/1000</f>
        <v>0</v>
      </c>
      <c r="AH30">
        <v>410.5207145869253</v>
      </c>
      <c r="AI30">
        <v>406.4404666666666</v>
      </c>
      <c r="AJ30">
        <v>0.0220541461319483</v>
      </c>
      <c r="AK30">
        <v>66.96470166380776</v>
      </c>
      <c r="AL30">
        <f>(AN30 - AM30 + BM30*1E3/(8.314*(BO30+273.15)) * AP30/BL30 * AO30) * BL30/(100*AZ30) * 1000/(1000 - AN30)</f>
        <v>0</v>
      </c>
      <c r="AM30">
        <v>13.43808519249832</v>
      </c>
      <c r="AN30">
        <v>15.30357818181817</v>
      </c>
      <c r="AO30">
        <v>0.001075643124054143</v>
      </c>
      <c r="AP30">
        <v>79.12696818654553</v>
      </c>
      <c r="AQ30">
        <v>171</v>
      </c>
      <c r="AR30">
        <v>21</v>
      </c>
      <c r="AS30">
        <f>IF(AQ30*$H$13&gt;=AU30,1.0,(AU30/(AU30-AQ30*$H$13)))</f>
        <v>0</v>
      </c>
      <c r="AT30">
        <f>(AS30-1)*100</f>
        <v>0</v>
      </c>
      <c r="AU30">
        <f>MAX(0,($B$13+$C$13*BT30)/(1+$D$13*BT30)*BM30/(BO30+273)*$E$13)</f>
        <v>0</v>
      </c>
      <c r="AV30">
        <f>$B$11*BU30+$C$11*BV30+$F$11*CG30*(1-CJ30)</f>
        <v>0</v>
      </c>
      <c r="AW30">
        <f>AV30*AX30</f>
        <v>0</v>
      </c>
      <c r="AX30">
        <f>($B$11*$D$9+$C$11*$D$9+$F$11*((CT30+CL30)/MAX(CT30+CL30+CU30, 0.1)*$I$9+CU30/MAX(CT30+CL30+CU30, 0.1)*$J$9))/($B$11+$C$11+$F$11)</f>
        <v>0</v>
      </c>
      <c r="AY30">
        <f>($B$11*$K$9+$C$11*$K$9+$F$11*((CT30+CL30)/MAX(CT30+CL30+CU30, 0.1)*$P$9+CU30/MAX(CT30+CL30+CU30, 0.1)*$Q$9))/($B$11+$C$11+$F$11)</f>
        <v>0</v>
      </c>
      <c r="AZ30">
        <v>6</v>
      </c>
      <c r="BA30">
        <v>0.5</v>
      </c>
      <c r="BB30" t="s">
        <v>353</v>
      </c>
      <c r="BC30">
        <v>2</v>
      </c>
      <c r="BD30" t="b">
        <v>0</v>
      </c>
      <c r="BE30">
        <v>1750698066.5</v>
      </c>
      <c r="BF30">
        <v>400.1132580645162</v>
      </c>
      <c r="BG30">
        <v>404.9734516129032</v>
      </c>
      <c r="BH30">
        <v>15.26099677419355</v>
      </c>
      <c r="BI30">
        <v>13.39103225806451</v>
      </c>
      <c r="BJ30">
        <v>397.9192580645162</v>
      </c>
      <c r="BK30">
        <v>15.14632580645161</v>
      </c>
      <c r="BL30">
        <v>800.0463225806452</v>
      </c>
      <c r="BM30">
        <v>101.4183548387097</v>
      </c>
      <c r="BN30">
        <v>0.1000819193548387</v>
      </c>
      <c r="BO30">
        <v>23.13839354838709</v>
      </c>
      <c r="BP30">
        <v>22.13642580645162</v>
      </c>
      <c r="BQ30">
        <v>999.9000000000003</v>
      </c>
      <c r="BR30">
        <v>0</v>
      </c>
      <c r="BS30">
        <v>0</v>
      </c>
      <c r="BT30">
        <v>9997.560645161291</v>
      </c>
      <c r="BU30">
        <v>0</v>
      </c>
      <c r="BV30">
        <v>0.00152894</v>
      </c>
      <c r="BW30">
        <v>-4.797439677419354</v>
      </c>
      <c r="BX30">
        <v>406.3778064516129</v>
      </c>
      <c r="BY30">
        <v>410.4701290322581</v>
      </c>
      <c r="BZ30">
        <v>1.869972258064516</v>
      </c>
      <c r="CA30">
        <v>404.9734516129032</v>
      </c>
      <c r="CB30">
        <v>13.39103225806451</v>
      </c>
      <c r="CC30">
        <v>1.547744838709677</v>
      </c>
      <c r="CD30">
        <v>1.358095806451613</v>
      </c>
      <c r="CE30">
        <v>13.44812903225806</v>
      </c>
      <c r="CF30">
        <v>11.45756774193548</v>
      </c>
      <c r="CG30">
        <v>1000.106064516129</v>
      </c>
      <c r="CH30">
        <v>0.9599994838709677</v>
      </c>
      <c r="CI30">
        <v>0.04000079032258065</v>
      </c>
      <c r="CJ30">
        <v>0</v>
      </c>
      <c r="CK30">
        <v>2.465322580645161</v>
      </c>
      <c r="CL30">
        <v>0</v>
      </c>
      <c r="CM30">
        <v>4970.226129032259</v>
      </c>
      <c r="CN30">
        <v>7947.757741935485</v>
      </c>
      <c r="CO30">
        <v>39.37880645161289</v>
      </c>
      <c r="CP30">
        <v>41.87667741935482</v>
      </c>
      <c r="CQ30">
        <v>40.66287096774192</v>
      </c>
      <c r="CR30">
        <v>41.8990322580645</v>
      </c>
      <c r="CS30">
        <v>39.20154838709677</v>
      </c>
      <c r="CT30">
        <v>960.1009677419354</v>
      </c>
      <c r="CU30">
        <v>40.00451612903225</v>
      </c>
      <c r="CV30">
        <v>0</v>
      </c>
      <c r="CW30">
        <v>1750698091.4</v>
      </c>
      <c r="CX30">
        <v>0</v>
      </c>
      <c r="CY30">
        <v>1750698094.5</v>
      </c>
      <c r="CZ30" t="s">
        <v>398</v>
      </c>
      <c r="DA30">
        <v>1750698094.5</v>
      </c>
      <c r="DB30">
        <v>1750697901.5</v>
      </c>
      <c r="DC30">
        <v>13</v>
      </c>
      <c r="DD30">
        <v>-0.06</v>
      </c>
      <c r="DE30">
        <v>0.002</v>
      </c>
      <c r="DF30">
        <v>2.194</v>
      </c>
      <c r="DG30">
        <v>0.107</v>
      </c>
      <c r="DH30">
        <v>405</v>
      </c>
      <c r="DI30">
        <v>15</v>
      </c>
      <c r="DJ30">
        <v>0.37</v>
      </c>
      <c r="DK30">
        <v>0.14</v>
      </c>
      <c r="DL30">
        <v>-4.789860731707317</v>
      </c>
      <c r="DM30">
        <v>-0.1208596515679482</v>
      </c>
      <c r="DN30">
        <v>0.02765957571498336</v>
      </c>
      <c r="DO30">
        <v>0</v>
      </c>
      <c r="DP30">
        <v>1.89826512195122</v>
      </c>
      <c r="DQ30">
        <v>-0.4884474564459919</v>
      </c>
      <c r="DR30">
        <v>0.05731533333010659</v>
      </c>
      <c r="DS30">
        <v>0</v>
      </c>
      <c r="DT30">
        <v>0</v>
      </c>
      <c r="DU30">
        <v>2</v>
      </c>
      <c r="DV30" t="s">
        <v>372</v>
      </c>
      <c r="DW30">
        <v>3.44749</v>
      </c>
      <c r="DX30">
        <v>2.78023</v>
      </c>
      <c r="DY30">
        <v>0.0973001</v>
      </c>
      <c r="DZ30">
        <v>0.0985259</v>
      </c>
      <c r="EA30">
        <v>0.087117</v>
      </c>
      <c r="EB30">
        <v>0.0790069</v>
      </c>
      <c r="EC30">
        <v>27348.1</v>
      </c>
      <c r="ED30">
        <v>31073</v>
      </c>
      <c r="EE30">
        <v>29416.8</v>
      </c>
      <c r="EF30">
        <v>35045.2</v>
      </c>
      <c r="EG30">
        <v>31052</v>
      </c>
      <c r="EH30">
        <v>40084.3</v>
      </c>
      <c r="EI30">
        <v>36210.9</v>
      </c>
      <c r="EJ30">
        <v>46411.4</v>
      </c>
      <c r="EK30">
        <v>2.28622</v>
      </c>
      <c r="EL30">
        <v>2.31187</v>
      </c>
      <c r="EM30">
        <v>0.0686571</v>
      </c>
      <c r="EN30">
        <v>0</v>
      </c>
      <c r="EO30">
        <v>21.0168</v>
      </c>
      <c r="EP30">
        <v>999.9</v>
      </c>
      <c r="EQ30">
        <v>65.8</v>
      </c>
      <c r="ER30">
        <v>23.5</v>
      </c>
      <c r="ES30">
        <v>18.857</v>
      </c>
      <c r="ET30">
        <v>61.1982</v>
      </c>
      <c r="EU30">
        <v>26.3221</v>
      </c>
      <c r="EV30">
        <v>2</v>
      </c>
      <c r="EW30">
        <v>-0.500699</v>
      </c>
      <c r="EX30">
        <v>0</v>
      </c>
      <c r="EY30">
        <v>20.2921</v>
      </c>
      <c r="EZ30">
        <v>5.21654</v>
      </c>
      <c r="FA30">
        <v>11.968</v>
      </c>
      <c r="FB30">
        <v>4.9921</v>
      </c>
      <c r="FC30">
        <v>3.27198</v>
      </c>
      <c r="FD30">
        <v>2725.1</v>
      </c>
      <c r="FE30">
        <v>9999</v>
      </c>
      <c r="FF30">
        <v>9999</v>
      </c>
      <c r="FG30">
        <v>999.9</v>
      </c>
      <c r="FH30">
        <v>4.9726</v>
      </c>
      <c r="FI30">
        <v>1.86248</v>
      </c>
      <c r="FJ30">
        <v>1.86417</v>
      </c>
      <c r="FK30">
        <v>1.86263</v>
      </c>
      <c r="FL30">
        <v>1.86265</v>
      </c>
      <c r="FM30">
        <v>1.86325</v>
      </c>
      <c r="FN30">
        <v>1.85974</v>
      </c>
      <c r="FO30">
        <v>1.86255</v>
      </c>
      <c r="FP30">
        <v>0</v>
      </c>
      <c r="FQ30">
        <v>0</v>
      </c>
      <c r="FR30">
        <v>0</v>
      </c>
      <c r="FS30">
        <v>0</v>
      </c>
      <c r="FT30" t="s">
        <v>356</v>
      </c>
      <c r="FU30" t="s">
        <v>357</v>
      </c>
      <c r="FV30" t="s">
        <v>358</v>
      </c>
      <c r="FW30" t="s">
        <v>358</v>
      </c>
      <c r="FX30" t="s">
        <v>358</v>
      </c>
      <c r="FY30" t="s">
        <v>358</v>
      </c>
      <c r="FZ30">
        <v>0</v>
      </c>
      <c r="GA30">
        <v>100</v>
      </c>
      <c r="GB30">
        <v>100</v>
      </c>
      <c r="GC30">
        <v>2.194</v>
      </c>
      <c r="GD30">
        <v>0.116</v>
      </c>
      <c r="GE30">
        <v>2.537937669184577</v>
      </c>
      <c r="GF30">
        <v>-0.001033730503750798</v>
      </c>
      <c r="GG30">
        <v>9.120241388950126E-07</v>
      </c>
      <c r="GH30">
        <v>-2.246115299815222E-10</v>
      </c>
      <c r="GI30">
        <v>-0.02405188824454629</v>
      </c>
      <c r="GJ30">
        <v>-0.01814858093373864</v>
      </c>
      <c r="GK30">
        <v>0.002091959988359369</v>
      </c>
      <c r="GL30">
        <v>-1.90871700788604E-05</v>
      </c>
      <c r="GM30">
        <v>2</v>
      </c>
      <c r="GN30">
        <v>2210</v>
      </c>
      <c r="GO30">
        <v>1</v>
      </c>
      <c r="GP30">
        <v>26</v>
      </c>
      <c r="GQ30">
        <v>2.9</v>
      </c>
      <c r="GR30">
        <v>2.9</v>
      </c>
      <c r="GS30">
        <v>1.26099</v>
      </c>
      <c r="GT30">
        <v>2.3645</v>
      </c>
      <c r="GU30">
        <v>2.34741</v>
      </c>
      <c r="GV30">
        <v>2.76123</v>
      </c>
      <c r="GW30">
        <v>2.39868</v>
      </c>
      <c r="GX30">
        <v>2.28394</v>
      </c>
      <c r="GY30">
        <v>28.6479</v>
      </c>
      <c r="GZ30">
        <v>14.0007</v>
      </c>
      <c r="HA30">
        <v>18</v>
      </c>
      <c r="HB30">
        <v>598.458</v>
      </c>
      <c r="HC30">
        <v>669.26</v>
      </c>
      <c r="HD30">
        <v>22.3297</v>
      </c>
      <c r="HE30">
        <v>20.884</v>
      </c>
      <c r="HF30">
        <v>29.9995</v>
      </c>
      <c r="HG30">
        <v>20.8101</v>
      </c>
      <c r="HH30">
        <v>20.7695</v>
      </c>
      <c r="HI30">
        <v>25.2854</v>
      </c>
      <c r="HJ30">
        <v>31.8682</v>
      </c>
      <c r="HK30">
        <v>56.633</v>
      </c>
      <c r="HL30">
        <v>-999.9</v>
      </c>
      <c r="HM30">
        <v>405</v>
      </c>
      <c r="HN30">
        <v>13.5451</v>
      </c>
      <c r="HO30">
        <v>100.999</v>
      </c>
      <c r="HP30">
        <v>101.319</v>
      </c>
    </row>
    <row r="31" spans="1:224">
      <c r="A31">
        <v>15</v>
      </c>
      <c r="B31">
        <v>1750698214.1</v>
      </c>
      <c r="C31">
        <v>3351</v>
      </c>
      <c r="D31" t="s">
        <v>399</v>
      </c>
      <c r="E31" t="s">
        <v>400</v>
      </c>
      <c r="F31">
        <v>15</v>
      </c>
      <c r="G31">
        <v>1750698206.099999</v>
      </c>
      <c r="H31">
        <f>(I31)/1000</f>
        <v>0</v>
      </c>
      <c r="I31">
        <f>IF(BD31, AL31, AF31)</f>
        <v>0</v>
      </c>
      <c r="J31">
        <f>IF(BD31, AG31, AE31)</f>
        <v>0</v>
      </c>
      <c r="K31">
        <f>BF31 - IF(AS31&gt;1, J31*AZ31*100.0/(AU31), 0)</f>
        <v>0</v>
      </c>
      <c r="L31">
        <f>((R31-H31/2)*K31-J31)/(R31+H31/2)</f>
        <v>0</v>
      </c>
      <c r="M31">
        <f>L31*(BM31+BN31)/1000.0</f>
        <v>0</v>
      </c>
      <c r="N31">
        <f>(BF31 - IF(AS31&gt;1, J31*AZ31*100.0/(AU31), 0))*(BM31+BN31)/1000.0</f>
        <v>0</v>
      </c>
      <c r="O31">
        <f>2.0/((1/Q31-1/P31)+SIGN(Q31)*SQRT((1/Q31-1/P31)*(1/Q31-1/P31) + 4*BA31/((BA31+1)*(BA31+1))*(2*1/Q31*1/P31-1/P31*1/P31)))</f>
        <v>0</v>
      </c>
      <c r="P31">
        <f>IF(LEFT(BB31,1)&lt;&gt;"0",IF(LEFT(BB31,1)="1",3.0,BC31),$D$5+$E$5*(BT31*BM31/($K$5*1000))+$F$5*(BT31*BM31/($K$5*1000))*MAX(MIN(AZ31,$J$5),$I$5)*MAX(MIN(AZ31,$J$5),$I$5)+$G$5*MAX(MIN(AZ31,$J$5),$I$5)*(BT31*BM31/($K$5*1000))+$H$5*(BT31*BM31/($K$5*1000))*(BT31*BM31/($K$5*1000)))</f>
        <v>0</v>
      </c>
      <c r="Q31">
        <f>H31*(1000-(1000*0.61365*exp(17.502*U31/(240.97+U31))/(BM31+BN31)+BH31)/2)/(1000*0.61365*exp(17.502*U31/(240.97+U31))/(BM31+BN31)-BH31)</f>
        <v>0</v>
      </c>
      <c r="R31">
        <f>1/((BA31+1)/(O31/1.6)+1/(P31/1.37)) + BA31/((BA31+1)/(O31/1.6) + BA31/(P31/1.37))</f>
        <v>0</v>
      </c>
      <c r="S31">
        <f>(AV31*AY31)</f>
        <v>0</v>
      </c>
      <c r="T31">
        <f>(BO31+(S31+2*0.95*5.67E-8*(((BO31+$B$7)+273)^4-(BO31+273)^4)-44100*H31)/(1.84*29.3*P31+8*0.95*5.67E-8*(BO31+273)^3))</f>
        <v>0</v>
      </c>
      <c r="U31">
        <f>($C$7*BP31+$D$7*BQ31+$E$7*T31)</f>
        <v>0</v>
      </c>
      <c r="V31">
        <f>0.61365*exp(17.502*U31/(240.97+U31))</f>
        <v>0</v>
      </c>
      <c r="W31">
        <f>(X31/Y31*100)</f>
        <v>0</v>
      </c>
      <c r="X31">
        <f>BH31*(BM31+BN31)/1000</f>
        <v>0</v>
      </c>
      <c r="Y31">
        <f>0.61365*exp(17.502*BO31/(240.97+BO31))</f>
        <v>0</v>
      </c>
      <c r="Z31">
        <f>(V31-BH31*(BM31+BN31)/1000)</f>
        <v>0</v>
      </c>
      <c r="AA31">
        <f>(-H31*44100)</f>
        <v>0</v>
      </c>
      <c r="AB31">
        <f>2*29.3*P31*0.92*(BO31-U31)</f>
        <v>0</v>
      </c>
      <c r="AC31">
        <f>2*0.95*5.67E-8*(((BO31+$B$7)+273)^4-(U31+273)^4)</f>
        <v>0</v>
      </c>
      <c r="AD31">
        <f>S31+AC31+AA31+AB31</f>
        <v>0</v>
      </c>
      <c r="AE31">
        <f>BL31*AS31*(BG31-BF31*(1000-AS31*BI31)/(1000-AS31*BH31))/(100*AZ31)</f>
        <v>0</v>
      </c>
      <c r="AF31">
        <f>1000*BL31*AS31*(BH31-BI31)/(100*AZ31*(1000-AS31*BH31))</f>
        <v>0</v>
      </c>
      <c r="AG31">
        <f>(AH31 - AI31 - BM31*1E3/(8.314*(BO31+273.15)) * AK31/BL31 * AJ31) * BL31/(100*AZ31) * (1000 - BI31)/1000</f>
        <v>0</v>
      </c>
      <c r="AH31">
        <v>410.4650684030062</v>
      </c>
      <c r="AI31">
        <v>406.9056424242424</v>
      </c>
      <c r="AJ31">
        <v>-0.00300133620635609</v>
      </c>
      <c r="AK31">
        <v>66.96109728032285</v>
      </c>
      <c r="AL31">
        <f>(AN31 - AM31 + BM31*1E3/(8.314*(BO31+273.15)) * AP31/BL31 * AO31) * BL31/(100*AZ31) * 1000/(1000 - AN31)</f>
        <v>0</v>
      </c>
      <c r="AM31">
        <v>13.43577269720766</v>
      </c>
      <c r="AN31">
        <v>15.20753393939394</v>
      </c>
      <c r="AO31">
        <v>3.096321083290178E-05</v>
      </c>
      <c r="AP31">
        <v>79.17885907462727</v>
      </c>
      <c r="AQ31">
        <v>162</v>
      </c>
      <c r="AR31">
        <v>20</v>
      </c>
      <c r="AS31">
        <f>IF(AQ31*$H$13&gt;=AU31,1.0,(AU31/(AU31-AQ31*$H$13)))</f>
        <v>0</v>
      </c>
      <c r="AT31">
        <f>(AS31-1)*100</f>
        <v>0</v>
      </c>
      <c r="AU31">
        <f>MAX(0,($B$13+$C$13*BT31)/(1+$D$13*BT31)*BM31/(BO31+273)*$E$13)</f>
        <v>0</v>
      </c>
      <c r="AV31">
        <f>$B$11*BU31+$C$11*BV31+$F$11*CG31*(1-CJ31)</f>
        <v>0</v>
      </c>
      <c r="AW31">
        <f>AV31*AX31</f>
        <v>0</v>
      </c>
      <c r="AX31">
        <f>($B$11*$D$9+$C$11*$D$9+$F$11*((CT31+CL31)/MAX(CT31+CL31+CU31, 0.1)*$I$9+CU31/MAX(CT31+CL31+CU31, 0.1)*$J$9))/($B$11+$C$11+$F$11)</f>
        <v>0</v>
      </c>
      <c r="AY31">
        <f>($B$11*$K$9+$C$11*$K$9+$F$11*((CT31+CL31)/MAX(CT31+CL31+CU31, 0.1)*$P$9+CU31/MAX(CT31+CL31+CU31, 0.1)*$Q$9))/($B$11+$C$11+$F$11)</f>
        <v>0</v>
      </c>
      <c r="AZ31">
        <v>6</v>
      </c>
      <c r="BA31">
        <v>0.5</v>
      </c>
      <c r="BB31" t="s">
        <v>353</v>
      </c>
      <c r="BC31">
        <v>2</v>
      </c>
      <c r="BD31" t="b">
        <v>0</v>
      </c>
      <c r="BE31">
        <v>1750698206.099999</v>
      </c>
      <c r="BF31">
        <v>400.7218387096775</v>
      </c>
      <c r="BG31">
        <v>404.9945806451613</v>
      </c>
      <c r="BH31">
        <v>15.21328387096774</v>
      </c>
      <c r="BI31">
        <v>13.42081612903226</v>
      </c>
      <c r="BJ31">
        <v>398.5268387096775</v>
      </c>
      <c r="BK31">
        <v>15.10010322580645</v>
      </c>
      <c r="BL31">
        <v>800.0026129032257</v>
      </c>
      <c r="BM31">
        <v>101.4162580645161</v>
      </c>
      <c r="BN31">
        <v>0.1000566129032258</v>
      </c>
      <c r="BO31">
        <v>23.07971612903226</v>
      </c>
      <c r="BP31">
        <v>22.43748387096774</v>
      </c>
      <c r="BQ31">
        <v>999.9000000000003</v>
      </c>
      <c r="BR31">
        <v>0</v>
      </c>
      <c r="BS31">
        <v>0</v>
      </c>
      <c r="BT31">
        <v>10000.69741935484</v>
      </c>
      <c r="BU31">
        <v>0</v>
      </c>
      <c r="BV31">
        <v>0.00152894</v>
      </c>
      <c r="BW31">
        <v>-4.27166</v>
      </c>
      <c r="BX31">
        <v>406.9134838709678</v>
      </c>
      <c r="BY31">
        <v>410.503935483871</v>
      </c>
      <c r="BZ31">
        <v>1.792466451612903</v>
      </c>
      <c r="CA31">
        <v>404.9945806451613</v>
      </c>
      <c r="CB31">
        <v>13.42081612903226</v>
      </c>
      <c r="CC31">
        <v>1.542876451612903</v>
      </c>
      <c r="CD31">
        <v>1.361090322580645</v>
      </c>
      <c r="CE31">
        <v>13.3998064516129</v>
      </c>
      <c r="CF31">
        <v>11.49095161290323</v>
      </c>
      <c r="CG31">
        <v>999.9873548387097</v>
      </c>
      <c r="CH31">
        <v>0.9599821935483872</v>
      </c>
      <c r="CI31">
        <v>0.04001770322580644</v>
      </c>
      <c r="CJ31">
        <v>0</v>
      </c>
      <c r="CK31">
        <v>1.895806451612904</v>
      </c>
      <c r="CL31">
        <v>0</v>
      </c>
      <c r="CM31">
        <v>8517.653870967741</v>
      </c>
      <c r="CN31">
        <v>7946.754516129033</v>
      </c>
      <c r="CO31">
        <v>36.48564516129031</v>
      </c>
      <c r="CP31">
        <v>38.9292258064516</v>
      </c>
      <c r="CQ31">
        <v>37.95545161290323</v>
      </c>
      <c r="CR31">
        <v>37.60667741935484</v>
      </c>
      <c r="CS31">
        <v>36.50583870967741</v>
      </c>
      <c r="CT31">
        <v>959.9693548387098</v>
      </c>
      <c r="CU31">
        <v>40.01806451612903</v>
      </c>
      <c r="CV31">
        <v>0</v>
      </c>
      <c r="CW31">
        <v>1750698231.2</v>
      </c>
      <c r="CX31">
        <v>0</v>
      </c>
      <c r="CY31">
        <v>1750698231.1</v>
      </c>
      <c r="CZ31" t="s">
        <v>401</v>
      </c>
      <c r="DA31">
        <v>1750698231.1</v>
      </c>
      <c r="DB31">
        <v>1750697901.5</v>
      </c>
      <c r="DC31">
        <v>14</v>
      </c>
      <c r="DD31">
        <v>0.001</v>
      </c>
      <c r="DE31">
        <v>0.002</v>
      </c>
      <c r="DF31">
        <v>2.195</v>
      </c>
      <c r="DG31">
        <v>0.107</v>
      </c>
      <c r="DH31">
        <v>405</v>
      </c>
      <c r="DI31">
        <v>15</v>
      </c>
      <c r="DJ31">
        <v>0.23</v>
      </c>
      <c r="DK31">
        <v>0.14</v>
      </c>
      <c r="DL31">
        <v>-4.27613725</v>
      </c>
      <c r="DM31">
        <v>0.1505526078799305</v>
      </c>
      <c r="DN31">
        <v>0.02981890801048049</v>
      </c>
      <c r="DO31">
        <v>0</v>
      </c>
      <c r="DP31">
        <v>1.803087</v>
      </c>
      <c r="DQ31">
        <v>-0.2280105816135119</v>
      </c>
      <c r="DR31">
        <v>0.02208587310929772</v>
      </c>
      <c r="DS31">
        <v>0</v>
      </c>
      <c r="DT31">
        <v>0</v>
      </c>
      <c r="DU31">
        <v>2</v>
      </c>
      <c r="DV31" t="s">
        <v>372</v>
      </c>
      <c r="DW31">
        <v>3.44735</v>
      </c>
      <c r="DX31">
        <v>2.78033</v>
      </c>
      <c r="DY31">
        <v>0.0974418</v>
      </c>
      <c r="DZ31">
        <v>0.09856570000000001</v>
      </c>
      <c r="EA31">
        <v>0.0867585</v>
      </c>
      <c r="EB31">
        <v>0.07913489999999999</v>
      </c>
      <c r="EC31">
        <v>27349</v>
      </c>
      <c r="ED31">
        <v>31075.9</v>
      </c>
      <c r="EE31">
        <v>29421.8</v>
      </c>
      <c r="EF31">
        <v>35049.4</v>
      </c>
      <c r="EG31">
        <v>31070.2</v>
      </c>
      <c r="EH31">
        <v>40084.6</v>
      </c>
      <c r="EI31">
        <v>36217.9</v>
      </c>
      <c r="EJ31">
        <v>46418.5</v>
      </c>
      <c r="EK31">
        <v>2.305</v>
      </c>
      <c r="EL31">
        <v>2.31313</v>
      </c>
      <c r="EM31">
        <v>0.0979081</v>
      </c>
      <c r="EN31">
        <v>0</v>
      </c>
      <c r="EO31">
        <v>20.8508</v>
      </c>
      <c r="EP31">
        <v>999.9</v>
      </c>
      <c r="EQ31">
        <v>65.7</v>
      </c>
      <c r="ER31">
        <v>23.6</v>
      </c>
      <c r="ES31">
        <v>18.9385</v>
      </c>
      <c r="ET31">
        <v>61.2273</v>
      </c>
      <c r="EU31">
        <v>26.4263</v>
      </c>
      <c r="EV31">
        <v>2</v>
      </c>
      <c r="EW31">
        <v>-0.509858</v>
      </c>
      <c r="EX31">
        <v>0</v>
      </c>
      <c r="EY31">
        <v>20.2943</v>
      </c>
      <c r="EZ31">
        <v>5.21325</v>
      </c>
      <c r="FA31">
        <v>11.968</v>
      </c>
      <c r="FB31">
        <v>4.99135</v>
      </c>
      <c r="FC31">
        <v>3.27173</v>
      </c>
      <c r="FD31">
        <v>2729.6</v>
      </c>
      <c r="FE31">
        <v>9999</v>
      </c>
      <c r="FF31">
        <v>9999</v>
      </c>
      <c r="FG31">
        <v>999.9</v>
      </c>
      <c r="FH31">
        <v>4.97259</v>
      </c>
      <c r="FI31">
        <v>1.86247</v>
      </c>
      <c r="FJ31">
        <v>1.86417</v>
      </c>
      <c r="FK31">
        <v>1.86264</v>
      </c>
      <c r="FL31">
        <v>1.86264</v>
      </c>
      <c r="FM31">
        <v>1.86325</v>
      </c>
      <c r="FN31">
        <v>1.85974</v>
      </c>
      <c r="FO31">
        <v>1.86251</v>
      </c>
      <c r="FP31">
        <v>0</v>
      </c>
      <c r="FQ31">
        <v>0</v>
      </c>
      <c r="FR31">
        <v>0</v>
      </c>
      <c r="FS31">
        <v>0</v>
      </c>
      <c r="FT31" t="s">
        <v>356</v>
      </c>
      <c r="FU31" t="s">
        <v>357</v>
      </c>
      <c r="FV31" t="s">
        <v>358</v>
      </c>
      <c r="FW31" t="s">
        <v>358</v>
      </c>
      <c r="FX31" t="s">
        <v>358</v>
      </c>
      <c r="FY31" t="s">
        <v>358</v>
      </c>
      <c r="FZ31">
        <v>0</v>
      </c>
      <c r="GA31">
        <v>100</v>
      </c>
      <c r="GB31">
        <v>100</v>
      </c>
      <c r="GC31">
        <v>2.195</v>
      </c>
      <c r="GD31">
        <v>0.113</v>
      </c>
      <c r="GE31">
        <v>2.477466291030605</v>
      </c>
      <c r="GF31">
        <v>-0.001033730503750798</v>
      </c>
      <c r="GG31">
        <v>9.120241388950126E-07</v>
      </c>
      <c r="GH31">
        <v>-2.246115299815222E-10</v>
      </c>
      <c r="GI31">
        <v>-0.02405188824454629</v>
      </c>
      <c r="GJ31">
        <v>-0.01814858093373864</v>
      </c>
      <c r="GK31">
        <v>0.002091959988359369</v>
      </c>
      <c r="GL31">
        <v>-1.90871700788604E-05</v>
      </c>
      <c r="GM31">
        <v>2</v>
      </c>
      <c r="GN31">
        <v>2210</v>
      </c>
      <c r="GO31">
        <v>1</v>
      </c>
      <c r="GP31">
        <v>26</v>
      </c>
      <c r="GQ31">
        <v>2</v>
      </c>
      <c r="GR31">
        <v>5.2</v>
      </c>
      <c r="GS31">
        <v>1.26099</v>
      </c>
      <c r="GT31">
        <v>2.37671</v>
      </c>
      <c r="GU31">
        <v>2.34863</v>
      </c>
      <c r="GV31">
        <v>2.76001</v>
      </c>
      <c r="GW31">
        <v>2.39868</v>
      </c>
      <c r="GX31">
        <v>2.26807</v>
      </c>
      <c r="GY31">
        <v>28.6269</v>
      </c>
      <c r="GZ31">
        <v>13.9832</v>
      </c>
      <c r="HA31">
        <v>18</v>
      </c>
      <c r="HB31">
        <v>609.138</v>
      </c>
      <c r="HC31">
        <v>668.168</v>
      </c>
      <c r="HD31">
        <v>22.1551</v>
      </c>
      <c r="HE31">
        <v>20.7265</v>
      </c>
      <c r="HF31">
        <v>30.0001</v>
      </c>
      <c r="HG31">
        <v>20.6485</v>
      </c>
      <c r="HH31">
        <v>20.614</v>
      </c>
      <c r="HI31">
        <v>25.2914</v>
      </c>
      <c r="HJ31">
        <v>31.9506</v>
      </c>
      <c r="HK31">
        <v>54.3735</v>
      </c>
      <c r="HL31">
        <v>-999.9</v>
      </c>
      <c r="HM31">
        <v>405</v>
      </c>
      <c r="HN31">
        <v>13.568</v>
      </c>
      <c r="HO31">
        <v>101.017</v>
      </c>
      <c r="HP31">
        <v>101.333</v>
      </c>
    </row>
    <row r="32" spans="1:224">
      <c r="A32">
        <v>16</v>
      </c>
      <c r="B32">
        <v>1750698402.6</v>
      </c>
      <c r="C32">
        <v>3539.5</v>
      </c>
      <c r="D32" t="s">
        <v>402</v>
      </c>
      <c r="E32" t="s">
        <v>403</v>
      </c>
      <c r="F32">
        <v>15</v>
      </c>
      <c r="G32">
        <v>1750698394.849999</v>
      </c>
      <c r="H32">
        <f>(I32)/1000</f>
        <v>0</v>
      </c>
      <c r="I32">
        <f>IF(BD32, AL32, AF32)</f>
        <v>0</v>
      </c>
      <c r="J32">
        <f>IF(BD32, AG32, AE32)</f>
        <v>0</v>
      </c>
      <c r="K32">
        <f>BF32 - IF(AS32&gt;1, J32*AZ32*100.0/(AU32), 0)</f>
        <v>0</v>
      </c>
      <c r="L32">
        <f>((R32-H32/2)*K32-J32)/(R32+H32/2)</f>
        <v>0</v>
      </c>
      <c r="M32">
        <f>L32*(BM32+BN32)/1000.0</f>
        <v>0</v>
      </c>
      <c r="N32">
        <f>(BF32 - IF(AS32&gt;1, J32*AZ32*100.0/(AU32), 0))*(BM32+BN32)/1000.0</f>
        <v>0</v>
      </c>
      <c r="O32">
        <f>2.0/((1/Q32-1/P32)+SIGN(Q32)*SQRT((1/Q32-1/P32)*(1/Q32-1/P32) + 4*BA32/((BA32+1)*(BA32+1))*(2*1/Q32*1/P32-1/P32*1/P32)))</f>
        <v>0</v>
      </c>
      <c r="P32">
        <f>IF(LEFT(BB32,1)&lt;&gt;"0",IF(LEFT(BB32,1)="1",3.0,BC32),$D$5+$E$5*(BT32*BM32/($K$5*1000))+$F$5*(BT32*BM32/($K$5*1000))*MAX(MIN(AZ32,$J$5),$I$5)*MAX(MIN(AZ32,$J$5),$I$5)+$G$5*MAX(MIN(AZ32,$J$5),$I$5)*(BT32*BM32/($K$5*1000))+$H$5*(BT32*BM32/($K$5*1000))*(BT32*BM32/($K$5*1000)))</f>
        <v>0</v>
      </c>
      <c r="Q32">
        <f>H32*(1000-(1000*0.61365*exp(17.502*U32/(240.97+U32))/(BM32+BN32)+BH32)/2)/(1000*0.61365*exp(17.502*U32/(240.97+U32))/(BM32+BN32)-BH32)</f>
        <v>0</v>
      </c>
      <c r="R32">
        <f>1/((BA32+1)/(O32/1.6)+1/(P32/1.37)) + BA32/((BA32+1)/(O32/1.6) + BA32/(P32/1.37))</f>
        <v>0</v>
      </c>
      <c r="S32">
        <f>(AV32*AY32)</f>
        <v>0</v>
      </c>
      <c r="T32">
        <f>(BO32+(S32+2*0.95*5.67E-8*(((BO32+$B$7)+273)^4-(BO32+273)^4)-44100*H32)/(1.84*29.3*P32+8*0.95*5.67E-8*(BO32+273)^3))</f>
        <v>0</v>
      </c>
      <c r="U32">
        <f>($C$7*BP32+$D$7*BQ32+$E$7*T32)</f>
        <v>0</v>
      </c>
      <c r="V32">
        <f>0.61365*exp(17.502*U32/(240.97+U32))</f>
        <v>0</v>
      </c>
      <c r="W32">
        <f>(X32/Y32*100)</f>
        <v>0</v>
      </c>
      <c r="X32">
        <f>BH32*(BM32+BN32)/1000</f>
        <v>0</v>
      </c>
      <c r="Y32">
        <f>0.61365*exp(17.502*BO32/(240.97+BO32))</f>
        <v>0</v>
      </c>
      <c r="Z32">
        <f>(V32-BH32*(BM32+BN32)/1000)</f>
        <v>0</v>
      </c>
      <c r="AA32">
        <f>(-H32*44100)</f>
        <v>0</v>
      </c>
      <c r="AB32">
        <f>2*29.3*P32*0.92*(BO32-U32)</f>
        <v>0</v>
      </c>
      <c r="AC32">
        <f>2*0.95*5.67E-8*(((BO32+$B$7)+273)^4-(U32+273)^4)</f>
        <v>0</v>
      </c>
      <c r="AD32">
        <f>S32+AC32+AA32+AB32</f>
        <v>0</v>
      </c>
      <c r="AE32">
        <f>BL32*AS32*(BG32-BF32*(1000-AS32*BI32)/(1000-AS32*BH32))/(100*AZ32)</f>
        <v>0</v>
      </c>
      <c r="AF32">
        <f>1000*BL32*AS32*(BH32-BI32)/(100*AZ32*(1000-AS32*BH32))</f>
        <v>0</v>
      </c>
      <c r="AG32">
        <f>(AH32 - AI32 - BM32*1E3/(8.314*(BO32+273.15)) * AK32/BL32 * AJ32) * BL32/(100*AZ32) * (1000 - BI32)/1000</f>
        <v>0</v>
      </c>
      <c r="AH32">
        <v>410.6352163718848</v>
      </c>
      <c r="AI32">
        <v>404.9486121212122</v>
      </c>
      <c r="AJ32">
        <v>1.267371558531283E-05</v>
      </c>
      <c r="AK32">
        <v>66.96061103507192</v>
      </c>
      <c r="AL32">
        <f>(AN32 - AM32 + BM32*1E3/(8.314*(BO32+273.15)) * AP32/BL32 * AO32) * BL32/(100*AZ32) * 1000/(1000 - AN32)</f>
        <v>0</v>
      </c>
      <c r="AM32">
        <v>13.79224518859369</v>
      </c>
      <c r="AN32">
        <v>15.27096181818181</v>
      </c>
      <c r="AO32">
        <v>0.006078830091921898</v>
      </c>
      <c r="AP32">
        <v>79.18390084049182</v>
      </c>
      <c r="AQ32">
        <v>131</v>
      </c>
      <c r="AR32">
        <v>16</v>
      </c>
      <c r="AS32">
        <f>IF(AQ32*$H$13&gt;=AU32,1.0,(AU32/(AU32-AQ32*$H$13)))</f>
        <v>0</v>
      </c>
      <c r="AT32">
        <f>(AS32-1)*100</f>
        <v>0</v>
      </c>
      <c r="AU32">
        <f>MAX(0,($B$13+$C$13*BT32)/(1+$D$13*BT32)*BM32/(BO32+273)*$E$13)</f>
        <v>0</v>
      </c>
      <c r="AV32">
        <f>$B$11*BU32+$C$11*BV32+$F$11*CG32*(1-CJ32)</f>
        <v>0</v>
      </c>
      <c r="AW32">
        <f>AV32*AX32</f>
        <v>0</v>
      </c>
      <c r="AX32">
        <f>($B$11*$D$9+$C$11*$D$9+$F$11*((CT32+CL32)/MAX(CT32+CL32+CU32, 0.1)*$I$9+CU32/MAX(CT32+CL32+CU32, 0.1)*$J$9))/($B$11+$C$11+$F$11)</f>
        <v>0</v>
      </c>
      <c r="AY32">
        <f>($B$11*$K$9+$C$11*$K$9+$F$11*((CT32+CL32)/MAX(CT32+CL32+CU32, 0.1)*$P$9+CU32/MAX(CT32+CL32+CU32, 0.1)*$Q$9))/($B$11+$C$11+$F$11)</f>
        <v>0</v>
      </c>
      <c r="AZ32">
        <v>6</v>
      </c>
      <c r="BA32">
        <v>0.5</v>
      </c>
      <c r="BB32" t="s">
        <v>353</v>
      </c>
      <c r="BC32">
        <v>2</v>
      </c>
      <c r="BD32" t="b">
        <v>0</v>
      </c>
      <c r="BE32">
        <v>1750698394.849999</v>
      </c>
      <c r="BF32">
        <v>398.7373333333334</v>
      </c>
      <c r="BG32">
        <v>404.9579000000001</v>
      </c>
      <c r="BH32">
        <v>15.21278</v>
      </c>
      <c r="BI32">
        <v>13.73877333333333</v>
      </c>
      <c r="BJ32">
        <v>396.5813333333334</v>
      </c>
      <c r="BK32">
        <v>15.09960666666666</v>
      </c>
      <c r="BL32">
        <v>800.0128999999999</v>
      </c>
      <c r="BM32">
        <v>101.4210333333333</v>
      </c>
      <c r="BN32">
        <v>0.09989323333333333</v>
      </c>
      <c r="BO32">
        <v>23.13349333333333</v>
      </c>
      <c r="BP32">
        <v>22.80539</v>
      </c>
      <c r="BQ32">
        <v>999.9000000000002</v>
      </c>
      <c r="BR32">
        <v>0</v>
      </c>
      <c r="BS32">
        <v>0</v>
      </c>
      <c r="BT32">
        <v>10005.95933333333</v>
      </c>
      <c r="BU32">
        <v>0</v>
      </c>
      <c r="BV32">
        <v>0.00152894</v>
      </c>
      <c r="BW32">
        <v>-6.178737333333333</v>
      </c>
      <c r="BX32">
        <v>404.9394666666666</v>
      </c>
      <c r="BY32">
        <v>410.5990666666667</v>
      </c>
      <c r="BZ32">
        <v>1.474012666666667</v>
      </c>
      <c r="CA32">
        <v>404.9579000000001</v>
      </c>
      <c r="CB32">
        <v>13.73877333333333</v>
      </c>
      <c r="CC32">
        <v>1.542894333333333</v>
      </c>
      <c r="CD32">
        <v>1.393398</v>
      </c>
      <c r="CE32">
        <v>13.39993666666667</v>
      </c>
      <c r="CF32">
        <v>11.84588666666667</v>
      </c>
      <c r="CG32">
        <v>999.9772999999999</v>
      </c>
      <c r="CH32">
        <v>0.9600121666666667</v>
      </c>
      <c r="CI32">
        <v>0.03998803666666665</v>
      </c>
      <c r="CJ32">
        <v>0</v>
      </c>
      <c r="CK32">
        <v>2.390666666666666</v>
      </c>
      <c r="CL32">
        <v>0</v>
      </c>
      <c r="CM32">
        <v>8490.029666666665</v>
      </c>
      <c r="CN32">
        <v>7946.776333333333</v>
      </c>
      <c r="CO32">
        <v>38.00816666666665</v>
      </c>
      <c r="CP32">
        <v>40.75403333333332</v>
      </c>
      <c r="CQ32">
        <v>39.34976666666667</v>
      </c>
      <c r="CR32">
        <v>40.19976666666666</v>
      </c>
      <c r="CS32">
        <v>37.91013333333333</v>
      </c>
      <c r="CT32">
        <v>959.9893333333331</v>
      </c>
      <c r="CU32">
        <v>39.98766666666666</v>
      </c>
      <c r="CV32">
        <v>0</v>
      </c>
      <c r="CW32">
        <v>1750698419.6</v>
      </c>
      <c r="CX32">
        <v>0</v>
      </c>
      <c r="CY32">
        <v>1750698419.6</v>
      </c>
      <c r="CZ32" t="s">
        <v>404</v>
      </c>
      <c r="DA32">
        <v>1750698419.6</v>
      </c>
      <c r="DB32">
        <v>1750697901.5</v>
      </c>
      <c r="DC32">
        <v>15</v>
      </c>
      <c r="DD32">
        <v>-0.039</v>
      </c>
      <c r="DE32">
        <v>0.002</v>
      </c>
      <c r="DF32">
        <v>2.156</v>
      </c>
      <c r="DG32">
        <v>0.107</v>
      </c>
      <c r="DH32">
        <v>405</v>
      </c>
      <c r="DI32">
        <v>15</v>
      </c>
      <c r="DJ32">
        <v>0.24</v>
      </c>
      <c r="DK32">
        <v>0.14</v>
      </c>
      <c r="DL32">
        <v>-6.176857</v>
      </c>
      <c r="DM32">
        <v>-0.08368682926828494</v>
      </c>
      <c r="DN32">
        <v>0.02634258958416957</v>
      </c>
      <c r="DO32">
        <v>1</v>
      </c>
      <c r="DP32">
        <v>1.4960305</v>
      </c>
      <c r="DQ32">
        <v>-0.3556016510319016</v>
      </c>
      <c r="DR32">
        <v>0.03976601903321477</v>
      </c>
      <c r="DS32">
        <v>0</v>
      </c>
      <c r="DT32">
        <v>1</v>
      </c>
      <c r="DU32">
        <v>2</v>
      </c>
      <c r="DV32" t="s">
        <v>355</v>
      </c>
      <c r="DW32">
        <v>3.44761</v>
      </c>
      <c r="DX32">
        <v>2.7805</v>
      </c>
      <c r="DY32">
        <v>0.09709479999999999</v>
      </c>
      <c r="DZ32">
        <v>0.0985902</v>
      </c>
      <c r="EA32">
        <v>0.0870359</v>
      </c>
      <c r="EB32">
        <v>0.0805531</v>
      </c>
      <c r="EC32">
        <v>27357.7</v>
      </c>
      <c r="ED32">
        <v>31072.9</v>
      </c>
      <c r="EE32">
        <v>29419.9</v>
      </c>
      <c r="EF32">
        <v>35046.9</v>
      </c>
      <c r="EG32">
        <v>31059.1</v>
      </c>
      <c r="EH32">
        <v>40019.9</v>
      </c>
      <c r="EI32">
        <v>36216.3</v>
      </c>
      <c r="EJ32">
        <v>46415.3</v>
      </c>
      <c r="EK32">
        <v>2.35928</v>
      </c>
      <c r="EL32">
        <v>2.3116</v>
      </c>
      <c r="EM32">
        <v>0.101883</v>
      </c>
      <c r="EN32">
        <v>0</v>
      </c>
      <c r="EO32">
        <v>21.1503</v>
      </c>
      <c r="EP32">
        <v>999.9</v>
      </c>
      <c r="EQ32">
        <v>65.5</v>
      </c>
      <c r="ER32">
        <v>23.8</v>
      </c>
      <c r="ES32">
        <v>19.1091</v>
      </c>
      <c r="ET32">
        <v>61.5073</v>
      </c>
      <c r="EU32">
        <v>26.4383</v>
      </c>
      <c r="EV32">
        <v>2</v>
      </c>
      <c r="EW32">
        <v>-0.507691</v>
      </c>
      <c r="EX32">
        <v>0</v>
      </c>
      <c r="EY32">
        <v>20.2946</v>
      </c>
      <c r="EZ32">
        <v>5.21519</v>
      </c>
      <c r="FA32">
        <v>11.968</v>
      </c>
      <c r="FB32">
        <v>4.9919</v>
      </c>
      <c r="FC32">
        <v>3.27198</v>
      </c>
      <c r="FD32">
        <v>2735.3</v>
      </c>
      <c r="FE32">
        <v>9999</v>
      </c>
      <c r="FF32">
        <v>9999</v>
      </c>
      <c r="FG32">
        <v>999.9</v>
      </c>
      <c r="FH32">
        <v>4.97262</v>
      </c>
      <c r="FI32">
        <v>1.86249</v>
      </c>
      <c r="FJ32">
        <v>1.86418</v>
      </c>
      <c r="FK32">
        <v>1.86264</v>
      </c>
      <c r="FL32">
        <v>1.86265</v>
      </c>
      <c r="FM32">
        <v>1.86325</v>
      </c>
      <c r="FN32">
        <v>1.85974</v>
      </c>
      <c r="FO32">
        <v>1.86254</v>
      </c>
      <c r="FP32">
        <v>0</v>
      </c>
      <c r="FQ32">
        <v>0</v>
      </c>
      <c r="FR32">
        <v>0</v>
      </c>
      <c r="FS32">
        <v>0</v>
      </c>
      <c r="FT32" t="s">
        <v>356</v>
      </c>
      <c r="FU32" t="s">
        <v>357</v>
      </c>
      <c r="FV32" t="s">
        <v>358</v>
      </c>
      <c r="FW32" t="s">
        <v>358</v>
      </c>
      <c r="FX32" t="s">
        <v>358</v>
      </c>
      <c r="FY32" t="s">
        <v>358</v>
      </c>
      <c r="FZ32">
        <v>0</v>
      </c>
      <c r="GA32">
        <v>100</v>
      </c>
      <c r="GB32">
        <v>100</v>
      </c>
      <c r="GC32">
        <v>2.156</v>
      </c>
      <c r="GD32">
        <v>0.115</v>
      </c>
      <c r="GE32">
        <v>2.47839034381771</v>
      </c>
      <c r="GF32">
        <v>-0.001033730503750798</v>
      </c>
      <c r="GG32">
        <v>9.120241388950126E-07</v>
      </c>
      <c r="GH32">
        <v>-2.246115299815222E-10</v>
      </c>
      <c r="GI32">
        <v>-0.02405188824454629</v>
      </c>
      <c r="GJ32">
        <v>-0.01814858093373864</v>
      </c>
      <c r="GK32">
        <v>0.002091959988359369</v>
      </c>
      <c r="GL32">
        <v>-1.90871700788604E-05</v>
      </c>
      <c r="GM32">
        <v>2</v>
      </c>
      <c r="GN32">
        <v>2210</v>
      </c>
      <c r="GO32">
        <v>1</v>
      </c>
      <c r="GP32">
        <v>26</v>
      </c>
      <c r="GQ32">
        <v>2.9</v>
      </c>
      <c r="GR32">
        <v>8.4</v>
      </c>
      <c r="GS32">
        <v>1.26221</v>
      </c>
      <c r="GT32">
        <v>2.37915</v>
      </c>
      <c r="GU32">
        <v>2.34863</v>
      </c>
      <c r="GV32">
        <v>2.76245</v>
      </c>
      <c r="GW32">
        <v>2.39868</v>
      </c>
      <c r="GX32">
        <v>2.2876</v>
      </c>
      <c r="GY32">
        <v>28.7323</v>
      </c>
      <c r="GZ32">
        <v>13.9569</v>
      </c>
      <c r="HA32">
        <v>18</v>
      </c>
      <c r="HB32">
        <v>646.216</v>
      </c>
      <c r="HC32">
        <v>666.402</v>
      </c>
      <c r="HD32">
        <v>22.129</v>
      </c>
      <c r="HE32">
        <v>20.743</v>
      </c>
      <c r="HF32">
        <v>30.0001</v>
      </c>
      <c r="HG32">
        <v>20.6187</v>
      </c>
      <c r="HH32">
        <v>20.5752</v>
      </c>
      <c r="HI32">
        <v>25.3062</v>
      </c>
      <c r="HJ32">
        <v>31.0562</v>
      </c>
      <c r="HK32">
        <v>51.3579</v>
      </c>
      <c r="HL32">
        <v>-999.9</v>
      </c>
      <c r="HM32">
        <v>405</v>
      </c>
      <c r="HN32">
        <v>13.8672</v>
      </c>
      <c r="HO32">
        <v>101.012</v>
      </c>
      <c r="HP32">
        <v>101.326</v>
      </c>
    </row>
    <row r="33" spans="1:224">
      <c r="A33">
        <v>17</v>
      </c>
      <c r="B33">
        <v>1750698590.1</v>
      </c>
      <c r="C33">
        <v>3727</v>
      </c>
      <c r="D33" t="s">
        <v>405</v>
      </c>
      <c r="E33" t="s">
        <v>406</v>
      </c>
      <c r="F33">
        <v>15</v>
      </c>
      <c r="G33">
        <v>1750698582.349999</v>
      </c>
      <c r="H33">
        <f>(I33)/1000</f>
        <v>0</v>
      </c>
      <c r="I33">
        <f>IF(BD33, AL33, AF33)</f>
        <v>0</v>
      </c>
      <c r="J33">
        <f>IF(BD33, AG33, AE33)</f>
        <v>0</v>
      </c>
      <c r="K33">
        <f>BF33 - IF(AS33&gt;1, J33*AZ33*100.0/(AU33), 0)</f>
        <v>0</v>
      </c>
      <c r="L33">
        <f>((R33-H33/2)*K33-J33)/(R33+H33/2)</f>
        <v>0</v>
      </c>
      <c r="M33">
        <f>L33*(BM33+BN33)/1000.0</f>
        <v>0</v>
      </c>
      <c r="N33">
        <f>(BF33 - IF(AS33&gt;1, J33*AZ33*100.0/(AU33), 0))*(BM33+BN33)/1000.0</f>
        <v>0</v>
      </c>
      <c r="O33">
        <f>2.0/((1/Q33-1/P33)+SIGN(Q33)*SQRT((1/Q33-1/P33)*(1/Q33-1/P33) + 4*BA33/((BA33+1)*(BA33+1))*(2*1/Q33*1/P33-1/P33*1/P33)))</f>
        <v>0</v>
      </c>
      <c r="P33">
        <f>IF(LEFT(BB33,1)&lt;&gt;"0",IF(LEFT(BB33,1)="1",3.0,BC33),$D$5+$E$5*(BT33*BM33/($K$5*1000))+$F$5*(BT33*BM33/($K$5*1000))*MAX(MIN(AZ33,$J$5),$I$5)*MAX(MIN(AZ33,$J$5),$I$5)+$G$5*MAX(MIN(AZ33,$J$5),$I$5)*(BT33*BM33/($K$5*1000))+$H$5*(BT33*BM33/($K$5*1000))*(BT33*BM33/($K$5*1000)))</f>
        <v>0</v>
      </c>
      <c r="Q33">
        <f>H33*(1000-(1000*0.61365*exp(17.502*U33/(240.97+U33))/(BM33+BN33)+BH33)/2)/(1000*0.61365*exp(17.502*U33/(240.97+U33))/(BM33+BN33)-BH33)</f>
        <v>0</v>
      </c>
      <c r="R33">
        <f>1/((BA33+1)/(O33/1.6)+1/(P33/1.37)) + BA33/((BA33+1)/(O33/1.6) + BA33/(P33/1.37))</f>
        <v>0</v>
      </c>
      <c r="S33">
        <f>(AV33*AY33)</f>
        <v>0</v>
      </c>
      <c r="T33">
        <f>(BO33+(S33+2*0.95*5.67E-8*(((BO33+$B$7)+273)^4-(BO33+273)^4)-44100*H33)/(1.84*29.3*P33+8*0.95*5.67E-8*(BO33+273)^3))</f>
        <v>0</v>
      </c>
      <c r="U33">
        <f>($C$7*BP33+$D$7*BQ33+$E$7*T33)</f>
        <v>0</v>
      </c>
      <c r="V33">
        <f>0.61365*exp(17.502*U33/(240.97+U33))</f>
        <v>0</v>
      </c>
      <c r="W33">
        <f>(X33/Y33*100)</f>
        <v>0</v>
      </c>
      <c r="X33">
        <f>BH33*(BM33+BN33)/1000</f>
        <v>0</v>
      </c>
      <c r="Y33">
        <f>0.61365*exp(17.502*BO33/(240.97+BO33))</f>
        <v>0</v>
      </c>
      <c r="Z33">
        <f>(V33-BH33*(BM33+BN33)/1000)</f>
        <v>0</v>
      </c>
      <c r="AA33">
        <f>(-H33*44100)</f>
        <v>0</v>
      </c>
      <c r="AB33">
        <f>2*29.3*P33*0.92*(BO33-U33)</f>
        <v>0</v>
      </c>
      <c r="AC33">
        <f>2*0.95*5.67E-8*(((BO33+$B$7)+273)^4-(U33+273)^4)</f>
        <v>0</v>
      </c>
      <c r="AD33">
        <f>S33+AC33+AA33+AB33</f>
        <v>0</v>
      </c>
      <c r="AE33">
        <f>BL33*AS33*(BG33-BF33*(1000-AS33*BI33)/(1000-AS33*BH33))/(100*AZ33)</f>
        <v>0</v>
      </c>
      <c r="AF33">
        <f>1000*BL33*AS33*(BH33-BI33)/(100*AZ33*(1000-AS33*BH33))</f>
        <v>0</v>
      </c>
      <c r="AG33">
        <f>(AH33 - AI33 - BM33*1E3/(8.314*(BO33+273.15)) * AK33/BL33 * AJ33) * BL33/(100*AZ33) * (1000 - BI33)/1000</f>
        <v>0</v>
      </c>
      <c r="AH33">
        <v>410.824888518393</v>
      </c>
      <c r="AI33">
        <v>406.1806969696968</v>
      </c>
      <c r="AJ33">
        <v>-0.001300877395232378</v>
      </c>
      <c r="AK33">
        <v>66.96114219654471</v>
      </c>
      <c r="AL33">
        <f>(AN33 - AM33 + BM33*1E3/(8.314*(BO33+273.15)) * AP33/BL33 * AO33) * BL33/(100*AZ33) * 1000/(1000 - AN33)</f>
        <v>0</v>
      </c>
      <c r="AM33">
        <v>14.25521652511676</v>
      </c>
      <c r="AN33">
        <v>15.39411818181819</v>
      </c>
      <c r="AO33">
        <v>-4.583809109048908E-05</v>
      </c>
      <c r="AP33">
        <v>79.17745578097956</v>
      </c>
      <c r="AQ33">
        <v>235</v>
      </c>
      <c r="AR33">
        <v>29</v>
      </c>
      <c r="AS33">
        <f>IF(AQ33*$H$13&gt;=AU33,1.0,(AU33/(AU33-AQ33*$H$13)))</f>
        <v>0</v>
      </c>
      <c r="AT33">
        <f>(AS33-1)*100</f>
        <v>0</v>
      </c>
      <c r="AU33">
        <f>MAX(0,($B$13+$C$13*BT33)/(1+$D$13*BT33)*BM33/(BO33+273)*$E$13)</f>
        <v>0</v>
      </c>
      <c r="AV33">
        <f>$B$11*BU33+$C$11*BV33+$F$11*CG33*(1-CJ33)</f>
        <v>0</v>
      </c>
      <c r="AW33">
        <f>AV33*AX33</f>
        <v>0</v>
      </c>
      <c r="AX33">
        <f>($B$11*$D$9+$C$11*$D$9+$F$11*((CT33+CL33)/MAX(CT33+CL33+CU33, 0.1)*$I$9+CU33/MAX(CT33+CL33+CU33, 0.1)*$J$9))/($B$11+$C$11+$F$11)</f>
        <v>0</v>
      </c>
      <c r="AY33">
        <f>($B$11*$K$9+$C$11*$K$9+$F$11*((CT33+CL33)/MAX(CT33+CL33+CU33, 0.1)*$P$9+CU33/MAX(CT33+CL33+CU33, 0.1)*$Q$9))/($B$11+$C$11+$F$11)</f>
        <v>0</v>
      </c>
      <c r="AZ33">
        <v>6</v>
      </c>
      <c r="BA33">
        <v>0.5</v>
      </c>
      <c r="BB33" t="s">
        <v>353</v>
      </c>
      <c r="BC33">
        <v>2</v>
      </c>
      <c r="BD33" t="b">
        <v>0</v>
      </c>
      <c r="BE33">
        <v>1750698582.349999</v>
      </c>
      <c r="BF33">
        <v>399.9173333333334</v>
      </c>
      <c r="BG33">
        <v>404.9958666666667</v>
      </c>
      <c r="BH33">
        <v>15.36238333333333</v>
      </c>
      <c r="BI33">
        <v>14.25879333333333</v>
      </c>
      <c r="BJ33">
        <v>397.7993333333334</v>
      </c>
      <c r="BK33">
        <v>15.28038333333333</v>
      </c>
      <c r="BL33">
        <v>800.0100666666668</v>
      </c>
      <c r="BM33">
        <v>101.4205666666666</v>
      </c>
      <c r="BN33">
        <v>0.09994518666666669</v>
      </c>
      <c r="BO33">
        <v>23.15918666666666</v>
      </c>
      <c r="BP33">
        <v>22.91125333333333</v>
      </c>
      <c r="BQ33">
        <v>999.9000000000002</v>
      </c>
      <c r="BR33">
        <v>0</v>
      </c>
      <c r="BS33">
        <v>0</v>
      </c>
      <c r="BT33">
        <v>10004.52766666667</v>
      </c>
      <c r="BU33">
        <v>0</v>
      </c>
      <c r="BV33">
        <v>0.00152894</v>
      </c>
      <c r="BW33">
        <v>-5.038462999999998</v>
      </c>
      <c r="BX33">
        <v>406.2129333333333</v>
      </c>
      <c r="BY33">
        <v>410.8542666666667</v>
      </c>
      <c r="BZ33">
        <v>1.140584</v>
      </c>
      <c r="CA33">
        <v>404.9958666666667</v>
      </c>
      <c r="CB33">
        <v>14.25879333333333</v>
      </c>
      <c r="CC33">
        <v>1.561813666666666</v>
      </c>
      <c r="CD33">
        <v>1.446134</v>
      </c>
      <c r="CE33">
        <v>13.58710333333334</v>
      </c>
      <c r="CF33">
        <v>12.41021333333333</v>
      </c>
      <c r="CG33">
        <v>1000.000466666667</v>
      </c>
      <c r="CH33">
        <v>0.9600054333333331</v>
      </c>
      <c r="CI33">
        <v>0.03999430000000002</v>
      </c>
      <c r="CJ33">
        <v>0</v>
      </c>
      <c r="CK33">
        <v>1.327</v>
      </c>
      <c r="CL33">
        <v>0</v>
      </c>
      <c r="CM33">
        <v>6352.347</v>
      </c>
      <c r="CN33">
        <v>7946.937666666666</v>
      </c>
      <c r="CO33">
        <v>39.23313333333332</v>
      </c>
      <c r="CP33">
        <v>41.6124</v>
      </c>
      <c r="CQ33">
        <v>40.50399999999999</v>
      </c>
      <c r="CR33">
        <v>41.4958</v>
      </c>
      <c r="CS33">
        <v>39.02893333333332</v>
      </c>
      <c r="CT33">
        <v>960.0059999999999</v>
      </c>
      <c r="CU33">
        <v>39.99433333333333</v>
      </c>
      <c r="CV33">
        <v>0</v>
      </c>
      <c r="CW33">
        <v>1750698606.8</v>
      </c>
      <c r="CX33">
        <v>0</v>
      </c>
      <c r="CY33">
        <v>1750698609.6</v>
      </c>
      <c r="CZ33" t="s">
        <v>407</v>
      </c>
      <c r="DA33">
        <v>1750698609.6</v>
      </c>
      <c r="DB33">
        <v>1750698609.1</v>
      </c>
      <c r="DC33">
        <v>16</v>
      </c>
      <c r="DD33">
        <v>-0.038</v>
      </c>
      <c r="DE33">
        <v>-0.003</v>
      </c>
      <c r="DF33">
        <v>2.118</v>
      </c>
      <c r="DG33">
        <v>0.082</v>
      </c>
      <c r="DH33">
        <v>405</v>
      </c>
      <c r="DI33">
        <v>14</v>
      </c>
      <c r="DJ33">
        <v>0.32</v>
      </c>
      <c r="DK33">
        <v>0.04</v>
      </c>
      <c r="DL33">
        <v>-5.045766829268292</v>
      </c>
      <c r="DM33">
        <v>0.1622544250871123</v>
      </c>
      <c r="DN33">
        <v>0.02783628439592561</v>
      </c>
      <c r="DO33">
        <v>0</v>
      </c>
      <c r="DP33">
        <v>1.138239268292683</v>
      </c>
      <c r="DQ33">
        <v>0.03641372822300042</v>
      </c>
      <c r="DR33">
        <v>0.004220897714158072</v>
      </c>
      <c r="DS33">
        <v>1</v>
      </c>
      <c r="DT33">
        <v>1</v>
      </c>
      <c r="DU33">
        <v>2</v>
      </c>
      <c r="DV33" t="s">
        <v>355</v>
      </c>
      <c r="DW33">
        <v>3.44783</v>
      </c>
      <c r="DX33">
        <v>2.78064</v>
      </c>
      <c r="DY33">
        <v>0.09732879999999999</v>
      </c>
      <c r="DZ33">
        <v>0.09860389999999999</v>
      </c>
      <c r="EA33">
        <v>0.0875396</v>
      </c>
      <c r="EB33">
        <v>0.0825285</v>
      </c>
      <c r="EC33">
        <v>27351.8</v>
      </c>
      <c r="ED33">
        <v>31073.9</v>
      </c>
      <c r="EE33">
        <v>29421</v>
      </c>
      <c r="EF33">
        <v>35048.5</v>
      </c>
      <c r="EG33">
        <v>31043.5</v>
      </c>
      <c r="EH33">
        <v>39935.7</v>
      </c>
      <c r="EI33">
        <v>36218.5</v>
      </c>
      <c r="EJ33">
        <v>46417.8</v>
      </c>
      <c r="EK33">
        <v>2.1736</v>
      </c>
      <c r="EL33">
        <v>2.31288</v>
      </c>
      <c r="EM33">
        <v>0.109181</v>
      </c>
      <c r="EN33">
        <v>0</v>
      </c>
      <c r="EO33">
        <v>21.1369</v>
      </c>
      <c r="EP33">
        <v>999.9</v>
      </c>
      <c r="EQ33">
        <v>65</v>
      </c>
      <c r="ER33">
        <v>23.9</v>
      </c>
      <c r="ES33">
        <v>19.0801</v>
      </c>
      <c r="ET33">
        <v>61.4873</v>
      </c>
      <c r="EU33">
        <v>26.4744</v>
      </c>
      <c r="EV33">
        <v>2</v>
      </c>
      <c r="EW33">
        <v>-0.510899</v>
      </c>
      <c r="EX33">
        <v>0</v>
      </c>
      <c r="EY33">
        <v>20.2946</v>
      </c>
      <c r="EZ33">
        <v>5.2131</v>
      </c>
      <c r="FA33">
        <v>11.968</v>
      </c>
      <c r="FB33">
        <v>4.99185</v>
      </c>
      <c r="FC33">
        <v>3.2718</v>
      </c>
      <c r="FD33">
        <v>2741.3</v>
      </c>
      <c r="FE33">
        <v>9999</v>
      </c>
      <c r="FF33">
        <v>9999</v>
      </c>
      <c r="FG33">
        <v>999.9</v>
      </c>
      <c r="FH33">
        <v>4.97263</v>
      </c>
      <c r="FI33">
        <v>1.86249</v>
      </c>
      <c r="FJ33">
        <v>1.86423</v>
      </c>
      <c r="FK33">
        <v>1.86264</v>
      </c>
      <c r="FL33">
        <v>1.86268</v>
      </c>
      <c r="FM33">
        <v>1.86325</v>
      </c>
      <c r="FN33">
        <v>1.85974</v>
      </c>
      <c r="FO33">
        <v>1.86257</v>
      </c>
      <c r="FP33">
        <v>0</v>
      </c>
      <c r="FQ33">
        <v>0</v>
      </c>
      <c r="FR33">
        <v>0</v>
      </c>
      <c r="FS33">
        <v>0</v>
      </c>
      <c r="FT33" t="s">
        <v>356</v>
      </c>
      <c r="FU33" t="s">
        <v>357</v>
      </c>
      <c r="FV33" t="s">
        <v>358</v>
      </c>
      <c r="FW33" t="s">
        <v>358</v>
      </c>
      <c r="FX33" t="s">
        <v>358</v>
      </c>
      <c r="FY33" t="s">
        <v>358</v>
      </c>
      <c r="FZ33">
        <v>0</v>
      </c>
      <c r="GA33">
        <v>100</v>
      </c>
      <c r="GB33">
        <v>100</v>
      </c>
      <c r="GC33">
        <v>2.118</v>
      </c>
      <c r="GD33">
        <v>0.082</v>
      </c>
      <c r="GE33">
        <v>2.439228231950684</v>
      </c>
      <c r="GF33">
        <v>-0.001033730503750798</v>
      </c>
      <c r="GG33">
        <v>9.120241388950126E-07</v>
      </c>
      <c r="GH33">
        <v>-2.246115299815222E-10</v>
      </c>
      <c r="GI33">
        <v>-0.02405188824454629</v>
      </c>
      <c r="GJ33">
        <v>-0.01814858093373864</v>
      </c>
      <c r="GK33">
        <v>0.002091959988359369</v>
      </c>
      <c r="GL33">
        <v>-1.90871700788604E-05</v>
      </c>
      <c r="GM33">
        <v>2</v>
      </c>
      <c r="GN33">
        <v>2210</v>
      </c>
      <c r="GO33">
        <v>1</v>
      </c>
      <c r="GP33">
        <v>26</v>
      </c>
      <c r="GQ33">
        <v>2.8</v>
      </c>
      <c r="GR33">
        <v>11.5</v>
      </c>
      <c r="GS33">
        <v>1.26221</v>
      </c>
      <c r="GT33">
        <v>2.37915</v>
      </c>
      <c r="GU33">
        <v>2.34741</v>
      </c>
      <c r="GV33">
        <v>2.76001</v>
      </c>
      <c r="GW33">
        <v>2.39868</v>
      </c>
      <c r="GX33">
        <v>2.27051</v>
      </c>
      <c r="GY33">
        <v>28.8379</v>
      </c>
      <c r="GZ33">
        <v>13.9306</v>
      </c>
      <c r="HA33">
        <v>18</v>
      </c>
      <c r="HB33">
        <v>525.1079999999999</v>
      </c>
      <c r="HC33">
        <v>666.692</v>
      </c>
      <c r="HD33">
        <v>22.1154</v>
      </c>
      <c r="HE33">
        <v>20.6963</v>
      </c>
      <c r="HF33">
        <v>30</v>
      </c>
      <c r="HG33">
        <v>20.5727</v>
      </c>
      <c r="HH33">
        <v>20.5203</v>
      </c>
      <c r="HI33">
        <v>25.3221</v>
      </c>
      <c r="HJ33">
        <v>28.7467</v>
      </c>
      <c r="HK33">
        <v>49.1266</v>
      </c>
      <c r="HL33">
        <v>-999.9</v>
      </c>
      <c r="HM33">
        <v>405</v>
      </c>
      <c r="HN33">
        <v>14.2316</v>
      </c>
      <c r="HO33">
        <v>101.017</v>
      </c>
      <c r="HP33">
        <v>101.331</v>
      </c>
    </row>
    <row r="34" spans="1:224">
      <c r="A34">
        <v>18</v>
      </c>
      <c r="B34">
        <v>1750698762.6</v>
      </c>
      <c r="C34">
        <v>3899.5</v>
      </c>
      <c r="D34" t="s">
        <v>408</v>
      </c>
      <c r="E34" t="s">
        <v>409</v>
      </c>
      <c r="F34">
        <v>15</v>
      </c>
      <c r="G34">
        <v>1750698754.599999</v>
      </c>
      <c r="H34">
        <f>(I34)/1000</f>
        <v>0</v>
      </c>
      <c r="I34">
        <f>IF(BD34, AL34, AF34)</f>
        <v>0</v>
      </c>
      <c r="J34">
        <f>IF(BD34, AG34, AE34)</f>
        <v>0</v>
      </c>
      <c r="K34">
        <f>BF34 - IF(AS34&gt;1, J34*AZ34*100.0/(AU34), 0)</f>
        <v>0</v>
      </c>
      <c r="L34">
        <f>((R34-H34/2)*K34-J34)/(R34+H34/2)</f>
        <v>0</v>
      </c>
      <c r="M34">
        <f>L34*(BM34+BN34)/1000.0</f>
        <v>0</v>
      </c>
      <c r="N34">
        <f>(BF34 - IF(AS34&gt;1, J34*AZ34*100.0/(AU34), 0))*(BM34+BN34)/1000.0</f>
        <v>0</v>
      </c>
      <c r="O34">
        <f>2.0/((1/Q34-1/P34)+SIGN(Q34)*SQRT((1/Q34-1/P34)*(1/Q34-1/P34) + 4*BA34/((BA34+1)*(BA34+1))*(2*1/Q34*1/P34-1/P34*1/P34)))</f>
        <v>0</v>
      </c>
      <c r="P34">
        <f>IF(LEFT(BB34,1)&lt;&gt;"0",IF(LEFT(BB34,1)="1",3.0,BC34),$D$5+$E$5*(BT34*BM34/($K$5*1000))+$F$5*(BT34*BM34/($K$5*1000))*MAX(MIN(AZ34,$J$5),$I$5)*MAX(MIN(AZ34,$J$5),$I$5)+$G$5*MAX(MIN(AZ34,$J$5),$I$5)*(BT34*BM34/($K$5*1000))+$H$5*(BT34*BM34/($K$5*1000))*(BT34*BM34/($K$5*1000)))</f>
        <v>0</v>
      </c>
      <c r="Q34">
        <f>H34*(1000-(1000*0.61365*exp(17.502*U34/(240.97+U34))/(BM34+BN34)+BH34)/2)/(1000*0.61365*exp(17.502*U34/(240.97+U34))/(BM34+BN34)-BH34)</f>
        <v>0</v>
      </c>
      <c r="R34">
        <f>1/((BA34+1)/(O34/1.6)+1/(P34/1.37)) + BA34/((BA34+1)/(O34/1.6) + BA34/(P34/1.37))</f>
        <v>0</v>
      </c>
      <c r="S34">
        <f>(AV34*AY34)</f>
        <v>0</v>
      </c>
      <c r="T34">
        <f>(BO34+(S34+2*0.95*5.67E-8*(((BO34+$B$7)+273)^4-(BO34+273)^4)-44100*H34)/(1.84*29.3*P34+8*0.95*5.67E-8*(BO34+273)^3))</f>
        <v>0</v>
      </c>
      <c r="U34">
        <f>($C$7*BP34+$D$7*BQ34+$E$7*T34)</f>
        <v>0</v>
      </c>
      <c r="V34">
        <f>0.61365*exp(17.502*U34/(240.97+U34))</f>
        <v>0</v>
      </c>
      <c r="W34">
        <f>(X34/Y34*100)</f>
        <v>0</v>
      </c>
      <c r="X34">
        <f>BH34*(BM34+BN34)/1000</f>
        <v>0</v>
      </c>
      <c r="Y34">
        <f>0.61365*exp(17.502*BO34/(240.97+BO34))</f>
        <v>0</v>
      </c>
      <c r="Z34">
        <f>(V34-BH34*(BM34+BN34)/1000)</f>
        <v>0</v>
      </c>
      <c r="AA34">
        <f>(-H34*44100)</f>
        <v>0</v>
      </c>
      <c r="AB34">
        <f>2*29.3*P34*0.92*(BO34-U34)</f>
        <v>0</v>
      </c>
      <c r="AC34">
        <f>2*0.95*5.67E-8*(((BO34+$B$7)+273)^4-(U34+273)^4)</f>
        <v>0</v>
      </c>
      <c r="AD34">
        <f>S34+AC34+AA34+AB34</f>
        <v>0</v>
      </c>
      <c r="AE34">
        <f>BL34*AS34*(BG34-BF34*(1000-AS34*BI34)/(1000-AS34*BH34))/(100*AZ34)</f>
        <v>0</v>
      </c>
      <c r="AF34">
        <f>1000*BL34*AS34*(BH34-BI34)/(100*AZ34*(1000-AS34*BH34))</f>
        <v>0</v>
      </c>
      <c r="AG34">
        <f>(AH34 - AI34 - BM34*1E3/(8.314*(BO34+273.15)) * AK34/BL34 * AJ34) * BL34/(100*AZ34) * (1000 - BI34)/1000</f>
        <v>0</v>
      </c>
      <c r="AH34">
        <v>410.8489563891326</v>
      </c>
      <c r="AI34">
        <v>405.4261636363637</v>
      </c>
      <c r="AJ34">
        <v>-0.0002222463262944883</v>
      </c>
      <c r="AK34">
        <v>66.96205215363517</v>
      </c>
      <c r="AL34">
        <f>(AN34 - AM34 + BM34*1E3/(8.314*(BO34+273.15)) * AP34/BL34 * AO34) * BL34/(100*AZ34) * 1000/(1000 - AN34)</f>
        <v>0</v>
      </c>
      <c r="AM34">
        <v>14.27619919419686</v>
      </c>
      <c r="AN34">
        <v>15.16188787878787</v>
      </c>
      <c r="AO34">
        <v>0.01183217007897651</v>
      </c>
      <c r="AP34">
        <v>79.16710173144307</v>
      </c>
      <c r="AQ34">
        <v>404</v>
      </c>
      <c r="AR34">
        <v>50</v>
      </c>
      <c r="AS34">
        <f>IF(AQ34*$H$13&gt;=AU34,1.0,(AU34/(AU34-AQ34*$H$13)))</f>
        <v>0</v>
      </c>
      <c r="AT34">
        <f>(AS34-1)*100</f>
        <v>0</v>
      </c>
      <c r="AU34">
        <f>MAX(0,($B$13+$C$13*BT34)/(1+$D$13*BT34)*BM34/(BO34+273)*$E$13)</f>
        <v>0</v>
      </c>
      <c r="AV34">
        <f>$B$11*BU34+$C$11*BV34+$F$11*CG34*(1-CJ34)</f>
        <v>0</v>
      </c>
      <c r="AW34">
        <f>AV34*AX34</f>
        <v>0</v>
      </c>
      <c r="AX34">
        <f>($B$11*$D$9+$C$11*$D$9+$F$11*((CT34+CL34)/MAX(CT34+CL34+CU34, 0.1)*$I$9+CU34/MAX(CT34+CL34+CU34, 0.1)*$J$9))/($B$11+$C$11+$F$11)</f>
        <v>0</v>
      </c>
      <c r="AY34">
        <f>($B$11*$K$9+$C$11*$K$9+$F$11*((CT34+CL34)/MAX(CT34+CL34+CU34, 0.1)*$P$9+CU34/MAX(CT34+CL34+CU34, 0.1)*$Q$9))/($B$11+$C$11+$F$11)</f>
        <v>0</v>
      </c>
      <c r="AZ34">
        <v>6</v>
      </c>
      <c r="BA34">
        <v>0.5</v>
      </c>
      <c r="BB34" t="s">
        <v>353</v>
      </c>
      <c r="BC34">
        <v>2</v>
      </c>
      <c r="BD34" t="b">
        <v>0</v>
      </c>
      <c r="BE34">
        <v>1750698754.599999</v>
      </c>
      <c r="BF34">
        <v>399.2649032258065</v>
      </c>
      <c r="BG34">
        <v>404.9590967741935</v>
      </c>
      <c r="BH34">
        <v>15.04970322580645</v>
      </c>
      <c r="BI34">
        <v>14.19090967741936</v>
      </c>
      <c r="BJ34">
        <v>397.1649032258065</v>
      </c>
      <c r="BK34">
        <v>14.96470322580645</v>
      </c>
      <c r="BL34">
        <v>800.0089354838711</v>
      </c>
      <c r="BM34">
        <v>101.4296451612903</v>
      </c>
      <c r="BN34">
        <v>0.1000399580645161</v>
      </c>
      <c r="BO34">
        <v>23.01704516129032</v>
      </c>
      <c r="BP34">
        <v>22.3540129032258</v>
      </c>
      <c r="BQ34">
        <v>999.9000000000003</v>
      </c>
      <c r="BR34">
        <v>0</v>
      </c>
      <c r="BS34">
        <v>0</v>
      </c>
      <c r="BT34">
        <v>10001.44870967742</v>
      </c>
      <c r="BU34">
        <v>0</v>
      </c>
      <c r="BV34">
        <v>0.00152894</v>
      </c>
      <c r="BW34">
        <v>-5.673907419354839</v>
      </c>
      <c r="BX34">
        <v>405.3947419354838</v>
      </c>
      <c r="BY34">
        <v>410.7885483870968</v>
      </c>
      <c r="BZ34">
        <v>0.8798815483870968</v>
      </c>
      <c r="CA34">
        <v>404.9590967741935</v>
      </c>
      <c r="CB34">
        <v>14.19090967741936</v>
      </c>
      <c r="CC34">
        <v>1.528621612903226</v>
      </c>
      <c r="CD34">
        <v>1.439376129032258</v>
      </c>
      <c r="CE34">
        <v>13.25739677419355</v>
      </c>
      <c r="CF34">
        <v>12.33869677419355</v>
      </c>
      <c r="CG34">
        <v>1000.036483870968</v>
      </c>
      <c r="CH34">
        <v>0.9600071612903222</v>
      </c>
      <c r="CI34">
        <v>0.03999283548387096</v>
      </c>
      <c r="CJ34">
        <v>0</v>
      </c>
      <c r="CK34">
        <v>1.637903225806451</v>
      </c>
      <c r="CL34">
        <v>0</v>
      </c>
      <c r="CM34">
        <v>6175.538387096774</v>
      </c>
      <c r="CN34">
        <v>7947.233548387097</v>
      </c>
      <c r="CO34">
        <v>38.08645161290321</v>
      </c>
      <c r="CP34">
        <v>39.58445161290322</v>
      </c>
      <c r="CQ34">
        <v>39.37677419354837</v>
      </c>
      <c r="CR34">
        <v>38.98161290322579</v>
      </c>
      <c r="CS34">
        <v>37.99574193548386</v>
      </c>
      <c r="CT34">
        <v>960.042258064516</v>
      </c>
      <c r="CU34">
        <v>39.99387096774193</v>
      </c>
      <c r="CV34">
        <v>0</v>
      </c>
      <c r="CW34">
        <v>1750698779.6</v>
      </c>
      <c r="CX34">
        <v>0</v>
      </c>
      <c r="CY34">
        <v>1750698783.6</v>
      </c>
      <c r="CZ34" t="s">
        <v>410</v>
      </c>
      <c r="DA34">
        <v>1750698779.1</v>
      </c>
      <c r="DB34">
        <v>1750698783.6</v>
      </c>
      <c r="DC34">
        <v>17</v>
      </c>
      <c r="DD34">
        <v>-0.018</v>
      </c>
      <c r="DE34">
        <v>0.003</v>
      </c>
      <c r="DF34">
        <v>2.1</v>
      </c>
      <c r="DG34">
        <v>0.08500000000000001</v>
      </c>
      <c r="DH34">
        <v>405</v>
      </c>
      <c r="DI34">
        <v>14</v>
      </c>
      <c r="DJ34">
        <v>0.34</v>
      </c>
      <c r="DK34">
        <v>0.13</v>
      </c>
      <c r="DL34">
        <v>-5.67473725</v>
      </c>
      <c r="DM34">
        <v>-0.02303020637896861</v>
      </c>
      <c r="DN34">
        <v>0.02248143155889985</v>
      </c>
      <c r="DO34">
        <v>1</v>
      </c>
      <c r="DP34">
        <v>0.9249240500000001</v>
      </c>
      <c r="DQ34">
        <v>-0.7575973283302094</v>
      </c>
      <c r="DR34">
        <v>0.08065165942277631</v>
      </c>
      <c r="DS34">
        <v>0</v>
      </c>
      <c r="DT34">
        <v>1</v>
      </c>
      <c r="DU34">
        <v>2</v>
      </c>
      <c r="DV34" t="s">
        <v>355</v>
      </c>
      <c r="DW34">
        <v>3.44789</v>
      </c>
      <c r="DX34">
        <v>2.78078</v>
      </c>
      <c r="DY34">
        <v>0.0972536</v>
      </c>
      <c r="DZ34">
        <v>0.0986462</v>
      </c>
      <c r="EA34">
        <v>0.0866493</v>
      </c>
      <c r="EB34">
        <v>0.0826639</v>
      </c>
      <c r="EC34">
        <v>27361.5</v>
      </c>
      <c r="ED34">
        <v>31081.2</v>
      </c>
      <c r="EE34">
        <v>29428.6</v>
      </c>
      <c r="EF34">
        <v>35057.7</v>
      </c>
      <c r="EG34">
        <v>31083.1</v>
      </c>
      <c r="EH34">
        <v>39941</v>
      </c>
      <c r="EI34">
        <v>36228.9</v>
      </c>
      <c r="EJ34">
        <v>46431.1</v>
      </c>
      <c r="EK34">
        <v>1.82418</v>
      </c>
      <c r="EL34">
        <v>2.31453</v>
      </c>
      <c r="EM34">
        <v>0.0993013</v>
      </c>
      <c r="EN34">
        <v>0</v>
      </c>
      <c r="EO34">
        <v>20.7411</v>
      </c>
      <c r="EP34">
        <v>999.9</v>
      </c>
      <c r="EQ34">
        <v>64.40000000000001</v>
      </c>
      <c r="ER34">
        <v>24</v>
      </c>
      <c r="ES34">
        <v>19.0132</v>
      </c>
      <c r="ET34">
        <v>61.7773</v>
      </c>
      <c r="EU34">
        <v>26.5264</v>
      </c>
      <c r="EV34">
        <v>2</v>
      </c>
      <c r="EW34">
        <v>-0.520793</v>
      </c>
      <c r="EX34">
        <v>0</v>
      </c>
      <c r="EY34">
        <v>20.2924</v>
      </c>
      <c r="EZ34">
        <v>5.21594</v>
      </c>
      <c r="FA34">
        <v>11.968</v>
      </c>
      <c r="FB34">
        <v>4.99165</v>
      </c>
      <c r="FC34">
        <v>3.27175</v>
      </c>
      <c r="FD34">
        <v>2746.9</v>
      </c>
      <c r="FE34">
        <v>9999</v>
      </c>
      <c r="FF34">
        <v>9999</v>
      </c>
      <c r="FG34">
        <v>999.9</v>
      </c>
      <c r="FH34">
        <v>4.97265</v>
      </c>
      <c r="FI34">
        <v>1.86249</v>
      </c>
      <c r="FJ34">
        <v>1.86417</v>
      </c>
      <c r="FK34">
        <v>1.86264</v>
      </c>
      <c r="FL34">
        <v>1.86265</v>
      </c>
      <c r="FM34">
        <v>1.86325</v>
      </c>
      <c r="FN34">
        <v>1.85974</v>
      </c>
      <c r="FO34">
        <v>1.86259</v>
      </c>
      <c r="FP34">
        <v>0</v>
      </c>
      <c r="FQ34">
        <v>0</v>
      </c>
      <c r="FR34">
        <v>0</v>
      </c>
      <c r="FS34">
        <v>0</v>
      </c>
      <c r="FT34" t="s">
        <v>356</v>
      </c>
      <c r="FU34" t="s">
        <v>357</v>
      </c>
      <c r="FV34" t="s">
        <v>358</v>
      </c>
      <c r="FW34" t="s">
        <v>358</v>
      </c>
      <c r="FX34" t="s">
        <v>358</v>
      </c>
      <c r="FY34" t="s">
        <v>358</v>
      </c>
      <c r="FZ34">
        <v>0</v>
      </c>
      <c r="GA34">
        <v>100</v>
      </c>
      <c r="GB34">
        <v>100</v>
      </c>
      <c r="GC34">
        <v>2.1</v>
      </c>
      <c r="GD34">
        <v>0.08500000000000001</v>
      </c>
      <c r="GE34">
        <v>2.401010853853303</v>
      </c>
      <c r="GF34">
        <v>-0.001033730503750798</v>
      </c>
      <c r="GG34">
        <v>9.120241388950126E-07</v>
      </c>
      <c r="GH34">
        <v>-2.246115299815222E-10</v>
      </c>
      <c r="GI34">
        <v>-0.0268503573188555</v>
      </c>
      <c r="GJ34">
        <v>-0.01814858093373864</v>
      </c>
      <c r="GK34">
        <v>0.002091959988359369</v>
      </c>
      <c r="GL34">
        <v>-1.90871700788604E-05</v>
      </c>
      <c r="GM34">
        <v>2</v>
      </c>
      <c r="GN34">
        <v>2210</v>
      </c>
      <c r="GO34">
        <v>1</v>
      </c>
      <c r="GP34">
        <v>26</v>
      </c>
      <c r="GQ34">
        <v>2.5</v>
      </c>
      <c r="GR34">
        <v>2.6</v>
      </c>
      <c r="GS34">
        <v>1.26343</v>
      </c>
      <c r="GT34">
        <v>2.37671</v>
      </c>
      <c r="GU34">
        <v>2.34741</v>
      </c>
      <c r="GV34">
        <v>2.75757</v>
      </c>
      <c r="GW34">
        <v>2.39868</v>
      </c>
      <c r="GX34">
        <v>2.24976</v>
      </c>
      <c r="GY34">
        <v>28.7745</v>
      </c>
      <c r="GZ34">
        <v>13.8956</v>
      </c>
      <c r="HA34">
        <v>18</v>
      </c>
      <c r="HB34">
        <v>347.359</v>
      </c>
      <c r="HC34">
        <v>666.237</v>
      </c>
      <c r="HD34">
        <v>21.9523</v>
      </c>
      <c r="HE34">
        <v>20.5525</v>
      </c>
      <c r="HF34">
        <v>29.9998</v>
      </c>
      <c r="HG34">
        <v>20.4463</v>
      </c>
      <c r="HH34">
        <v>20.3883</v>
      </c>
      <c r="HI34">
        <v>25.3308</v>
      </c>
      <c r="HJ34">
        <v>28.4161</v>
      </c>
      <c r="HK34">
        <v>46.8836</v>
      </c>
      <c r="HL34">
        <v>-999.9</v>
      </c>
      <c r="HM34">
        <v>405</v>
      </c>
      <c r="HN34">
        <v>14.3565</v>
      </c>
      <c r="HO34">
        <v>101.045</v>
      </c>
      <c r="HP34">
        <v>101.359</v>
      </c>
    </row>
    <row r="35" spans="1:224">
      <c r="A35">
        <v>19</v>
      </c>
      <c r="B35">
        <v>1750698939.6</v>
      </c>
      <c r="C35">
        <v>4076.5</v>
      </c>
      <c r="D35" t="s">
        <v>411</v>
      </c>
      <c r="E35" t="s">
        <v>412</v>
      </c>
      <c r="F35">
        <v>15</v>
      </c>
      <c r="G35">
        <v>1750698931.599999</v>
      </c>
      <c r="H35">
        <f>(I35)/1000</f>
        <v>0</v>
      </c>
      <c r="I35">
        <f>IF(BD35, AL35, AF35)</f>
        <v>0</v>
      </c>
      <c r="J35">
        <f>IF(BD35, AG35, AE35)</f>
        <v>0</v>
      </c>
      <c r="K35">
        <f>BF35 - IF(AS35&gt;1, J35*AZ35*100.0/(AU35), 0)</f>
        <v>0</v>
      </c>
      <c r="L35">
        <f>((R35-H35/2)*K35-J35)/(R35+H35/2)</f>
        <v>0</v>
      </c>
      <c r="M35">
        <f>L35*(BM35+BN35)/1000.0</f>
        <v>0</v>
      </c>
      <c r="N35">
        <f>(BF35 - IF(AS35&gt;1, J35*AZ35*100.0/(AU35), 0))*(BM35+BN35)/1000.0</f>
        <v>0</v>
      </c>
      <c r="O35">
        <f>2.0/((1/Q35-1/P35)+SIGN(Q35)*SQRT((1/Q35-1/P35)*(1/Q35-1/P35) + 4*BA35/((BA35+1)*(BA35+1))*(2*1/Q35*1/P35-1/P35*1/P35)))</f>
        <v>0</v>
      </c>
      <c r="P35">
        <f>IF(LEFT(BB35,1)&lt;&gt;"0",IF(LEFT(BB35,1)="1",3.0,BC35),$D$5+$E$5*(BT35*BM35/($K$5*1000))+$F$5*(BT35*BM35/($K$5*1000))*MAX(MIN(AZ35,$J$5),$I$5)*MAX(MIN(AZ35,$J$5),$I$5)+$G$5*MAX(MIN(AZ35,$J$5),$I$5)*(BT35*BM35/($K$5*1000))+$H$5*(BT35*BM35/($K$5*1000))*(BT35*BM35/($K$5*1000)))</f>
        <v>0</v>
      </c>
      <c r="Q35">
        <f>H35*(1000-(1000*0.61365*exp(17.502*U35/(240.97+U35))/(BM35+BN35)+BH35)/2)/(1000*0.61365*exp(17.502*U35/(240.97+U35))/(BM35+BN35)-BH35)</f>
        <v>0</v>
      </c>
      <c r="R35">
        <f>1/((BA35+1)/(O35/1.6)+1/(P35/1.37)) + BA35/((BA35+1)/(O35/1.6) + BA35/(P35/1.37))</f>
        <v>0</v>
      </c>
      <c r="S35">
        <f>(AV35*AY35)</f>
        <v>0</v>
      </c>
      <c r="T35">
        <f>(BO35+(S35+2*0.95*5.67E-8*(((BO35+$B$7)+273)^4-(BO35+273)^4)-44100*H35)/(1.84*29.3*P35+8*0.95*5.67E-8*(BO35+273)^3))</f>
        <v>0</v>
      </c>
      <c r="U35">
        <f>($C$7*BP35+$D$7*BQ35+$E$7*T35)</f>
        <v>0</v>
      </c>
      <c r="V35">
        <f>0.61365*exp(17.502*U35/(240.97+U35))</f>
        <v>0</v>
      </c>
      <c r="W35">
        <f>(X35/Y35*100)</f>
        <v>0</v>
      </c>
      <c r="X35">
        <f>BH35*(BM35+BN35)/1000</f>
        <v>0</v>
      </c>
      <c r="Y35">
        <f>0.61365*exp(17.502*BO35/(240.97+BO35))</f>
        <v>0</v>
      </c>
      <c r="Z35">
        <f>(V35-BH35*(BM35+BN35)/1000)</f>
        <v>0</v>
      </c>
      <c r="AA35">
        <f>(-H35*44100)</f>
        <v>0</v>
      </c>
      <c r="AB35">
        <f>2*29.3*P35*0.92*(BO35-U35)</f>
        <v>0</v>
      </c>
      <c r="AC35">
        <f>2*0.95*5.67E-8*(((BO35+$B$7)+273)^4-(U35+273)^4)</f>
        <v>0</v>
      </c>
      <c r="AD35">
        <f>S35+AC35+AA35+AB35</f>
        <v>0</v>
      </c>
      <c r="AE35">
        <f>BL35*AS35*(BG35-BF35*(1000-AS35*BI35)/(1000-AS35*BH35))/(100*AZ35)</f>
        <v>0</v>
      </c>
      <c r="AF35">
        <f>1000*BL35*AS35*(BH35-BI35)/(100*AZ35*(1000-AS35*BH35))</f>
        <v>0</v>
      </c>
      <c r="AG35">
        <f>(AH35 - AI35 - BM35*1E3/(8.314*(BO35+273.15)) * AK35/BL35 * AJ35) * BL35/(100*AZ35) * (1000 - BI35)/1000</f>
        <v>0</v>
      </c>
      <c r="AH35">
        <v>410.0821947093947</v>
      </c>
      <c r="AI35">
        <v>403.8776545454544</v>
      </c>
      <c r="AJ35">
        <v>-0.0008532620324477288</v>
      </c>
      <c r="AK35">
        <v>66.9622595722515</v>
      </c>
      <c r="AL35">
        <f>(AN35 - AM35 + BM35*1E3/(8.314*(BO35+273.15)) * AP35/BL35 * AO35) * BL35/(100*AZ35) * 1000/(1000 - AN35)</f>
        <v>0</v>
      </c>
      <c r="AM35">
        <v>12.3927616113234</v>
      </c>
      <c r="AN35">
        <v>15.03653454545455</v>
      </c>
      <c r="AO35">
        <v>-6.017477647077414E-05</v>
      </c>
      <c r="AP35">
        <v>79.16489740269309</v>
      </c>
      <c r="AQ35">
        <v>32</v>
      </c>
      <c r="AR35">
        <v>4</v>
      </c>
      <c r="AS35">
        <f>IF(AQ35*$H$13&gt;=AU35,1.0,(AU35/(AU35-AQ35*$H$13)))</f>
        <v>0</v>
      </c>
      <c r="AT35">
        <f>(AS35-1)*100</f>
        <v>0</v>
      </c>
      <c r="AU35">
        <f>MAX(0,($B$13+$C$13*BT35)/(1+$D$13*BT35)*BM35/(BO35+273)*$E$13)</f>
        <v>0</v>
      </c>
      <c r="AV35">
        <f>$B$11*BU35+$C$11*BV35+$F$11*CG35*(1-CJ35)</f>
        <v>0</v>
      </c>
      <c r="AW35">
        <f>AV35*AX35</f>
        <v>0</v>
      </c>
      <c r="AX35">
        <f>($B$11*$D$9+$C$11*$D$9+$F$11*((CT35+CL35)/MAX(CT35+CL35+CU35, 0.1)*$I$9+CU35/MAX(CT35+CL35+CU35, 0.1)*$J$9))/($B$11+$C$11+$F$11)</f>
        <v>0</v>
      </c>
      <c r="AY35">
        <f>($B$11*$K$9+$C$11*$K$9+$F$11*((CT35+CL35)/MAX(CT35+CL35+CU35, 0.1)*$P$9+CU35/MAX(CT35+CL35+CU35, 0.1)*$Q$9))/($B$11+$C$11+$F$11)</f>
        <v>0</v>
      </c>
      <c r="AZ35">
        <v>6</v>
      </c>
      <c r="BA35">
        <v>0.5</v>
      </c>
      <c r="BB35" t="s">
        <v>353</v>
      </c>
      <c r="BC35">
        <v>2</v>
      </c>
      <c r="BD35" t="b">
        <v>0</v>
      </c>
      <c r="BE35">
        <v>1750698931.599999</v>
      </c>
      <c r="BF35">
        <v>397.9726451612902</v>
      </c>
      <c r="BG35">
        <v>404.9927096774193</v>
      </c>
      <c r="BH35">
        <v>15.0314935483871</v>
      </c>
      <c r="BI35">
        <v>12.39525161290323</v>
      </c>
      <c r="BJ35">
        <v>395.7616451612902</v>
      </c>
      <c r="BK35">
        <v>14.92412258064516</v>
      </c>
      <c r="BL35">
        <v>799.9736451612905</v>
      </c>
      <c r="BM35">
        <v>101.4274838709677</v>
      </c>
      <c r="BN35">
        <v>0.09990974516129031</v>
      </c>
      <c r="BO35">
        <v>22.8359129032258</v>
      </c>
      <c r="BP35">
        <v>21.91629032258064</v>
      </c>
      <c r="BQ35">
        <v>999.9000000000003</v>
      </c>
      <c r="BR35">
        <v>0</v>
      </c>
      <c r="BS35">
        <v>0</v>
      </c>
      <c r="BT35">
        <v>9995.085161290324</v>
      </c>
      <c r="BU35">
        <v>0</v>
      </c>
      <c r="BV35">
        <v>0.00152894</v>
      </c>
      <c r="BW35">
        <v>-7.127990322580644</v>
      </c>
      <c r="BX35">
        <v>403.9365161290323</v>
      </c>
      <c r="BY35">
        <v>410.0756451612903</v>
      </c>
      <c r="BZ35">
        <v>2.636249354838709</v>
      </c>
      <c r="CA35">
        <v>404.9927096774193</v>
      </c>
      <c r="CB35">
        <v>12.39525161290323</v>
      </c>
      <c r="CC35">
        <v>1.524605806451613</v>
      </c>
      <c r="CD35">
        <v>1.257219032258065</v>
      </c>
      <c r="CE35">
        <v>13.2171935483871</v>
      </c>
      <c r="CF35">
        <v>10.29691612903226</v>
      </c>
      <c r="CG35">
        <v>1000.007935483871</v>
      </c>
      <c r="CH35">
        <v>0.959996451612903</v>
      </c>
      <c r="CI35">
        <v>0.04000330967741934</v>
      </c>
      <c r="CJ35">
        <v>0</v>
      </c>
      <c r="CK35">
        <v>-0.5185483870967742</v>
      </c>
      <c r="CL35">
        <v>0</v>
      </c>
      <c r="CM35">
        <v>6539.552580645161</v>
      </c>
      <c r="CN35">
        <v>7946.969677419354</v>
      </c>
      <c r="CO35">
        <v>37.38887096774192</v>
      </c>
      <c r="CP35">
        <v>39.74774193548385</v>
      </c>
      <c r="CQ35">
        <v>38.7256129032258</v>
      </c>
      <c r="CR35">
        <v>38.90296774193548</v>
      </c>
      <c r="CS35">
        <v>37.25580645161289</v>
      </c>
      <c r="CT35">
        <v>960.004193548387</v>
      </c>
      <c r="CU35">
        <v>40.00258064516129</v>
      </c>
      <c r="CV35">
        <v>0</v>
      </c>
      <c r="CW35">
        <v>1750698956.6</v>
      </c>
      <c r="CX35">
        <v>0</v>
      </c>
      <c r="CY35">
        <v>1750698958.6</v>
      </c>
      <c r="CZ35" t="s">
        <v>413</v>
      </c>
      <c r="DA35">
        <v>1750698958.6</v>
      </c>
      <c r="DB35">
        <v>1750698783.6</v>
      </c>
      <c r="DC35">
        <v>18</v>
      </c>
      <c r="DD35">
        <v>0.111</v>
      </c>
      <c r="DE35">
        <v>0.003</v>
      </c>
      <c r="DF35">
        <v>2.211</v>
      </c>
      <c r="DG35">
        <v>0.08500000000000001</v>
      </c>
      <c r="DH35">
        <v>405</v>
      </c>
      <c r="DI35">
        <v>14</v>
      </c>
      <c r="DJ35">
        <v>0.33</v>
      </c>
      <c r="DK35">
        <v>0.13</v>
      </c>
      <c r="DL35">
        <v>-7.1079915</v>
      </c>
      <c r="DM35">
        <v>-0.5005769606003535</v>
      </c>
      <c r="DN35">
        <v>0.05434218069557015</v>
      </c>
      <c r="DO35">
        <v>0</v>
      </c>
      <c r="DP35">
        <v>2.64135225</v>
      </c>
      <c r="DQ35">
        <v>-0.02563148217636489</v>
      </c>
      <c r="DR35">
        <v>0.01382210484830364</v>
      </c>
      <c r="DS35">
        <v>1</v>
      </c>
      <c r="DT35">
        <v>1</v>
      </c>
      <c r="DU35">
        <v>2</v>
      </c>
      <c r="DV35" t="s">
        <v>355</v>
      </c>
      <c r="DW35">
        <v>3.44688</v>
      </c>
      <c r="DX35">
        <v>2.78097</v>
      </c>
      <c r="DY35">
        <v>0.0970235</v>
      </c>
      <c r="DZ35">
        <v>0.09867330000000001</v>
      </c>
      <c r="EA35">
        <v>0.0861455</v>
      </c>
      <c r="EB35">
        <v>0.0744687</v>
      </c>
      <c r="EC35">
        <v>27376.5</v>
      </c>
      <c r="ED35">
        <v>31088.2</v>
      </c>
      <c r="EE35">
        <v>29436.6</v>
      </c>
      <c r="EF35">
        <v>35065.8</v>
      </c>
      <c r="EG35">
        <v>31109.7</v>
      </c>
      <c r="EH35">
        <v>40310.2</v>
      </c>
      <c r="EI35">
        <v>36240</v>
      </c>
      <c r="EJ35">
        <v>46444.1</v>
      </c>
      <c r="EK35">
        <v>2.52052</v>
      </c>
      <c r="EL35">
        <v>2.3134</v>
      </c>
      <c r="EM35">
        <v>0.08027629999999999</v>
      </c>
      <c r="EN35">
        <v>0</v>
      </c>
      <c r="EO35">
        <v>20.6102</v>
      </c>
      <c r="EP35">
        <v>999.9</v>
      </c>
      <c r="EQ35">
        <v>63.8</v>
      </c>
      <c r="ER35">
        <v>24.1</v>
      </c>
      <c r="ES35">
        <v>18.9504</v>
      </c>
      <c r="ET35">
        <v>61.6873</v>
      </c>
      <c r="EU35">
        <v>26.6667</v>
      </c>
      <c r="EV35">
        <v>2</v>
      </c>
      <c r="EW35">
        <v>-0.533521</v>
      </c>
      <c r="EX35">
        <v>0</v>
      </c>
      <c r="EY35">
        <v>20.2946</v>
      </c>
      <c r="EZ35">
        <v>5.21549</v>
      </c>
      <c r="FA35">
        <v>11.968</v>
      </c>
      <c r="FB35">
        <v>4.9916</v>
      </c>
      <c r="FC35">
        <v>3.27198</v>
      </c>
      <c r="FD35">
        <v>2752.5</v>
      </c>
      <c r="FE35">
        <v>9999</v>
      </c>
      <c r="FF35">
        <v>9999</v>
      </c>
      <c r="FG35">
        <v>999.9</v>
      </c>
      <c r="FH35">
        <v>4.9726</v>
      </c>
      <c r="FI35">
        <v>1.86249</v>
      </c>
      <c r="FJ35">
        <v>1.86418</v>
      </c>
      <c r="FK35">
        <v>1.86264</v>
      </c>
      <c r="FL35">
        <v>1.86264</v>
      </c>
      <c r="FM35">
        <v>1.86325</v>
      </c>
      <c r="FN35">
        <v>1.85974</v>
      </c>
      <c r="FO35">
        <v>1.86259</v>
      </c>
      <c r="FP35">
        <v>0</v>
      </c>
      <c r="FQ35">
        <v>0</v>
      </c>
      <c r="FR35">
        <v>0</v>
      </c>
      <c r="FS35">
        <v>0</v>
      </c>
      <c r="FT35" t="s">
        <v>356</v>
      </c>
      <c r="FU35" t="s">
        <v>357</v>
      </c>
      <c r="FV35" t="s">
        <v>358</v>
      </c>
      <c r="FW35" t="s">
        <v>358</v>
      </c>
      <c r="FX35" t="s">
        <v>358</v>
      </c>
      <c r="FY35" t="s">
        <v>358</v>
      </c>
      <c r="FZ35">
        <v>0</v>
      </c>
      <c r="GA35">
        <v>100</v>
      </c>
      <c r="GB35">
        <v>100</v>
      </c>
      <c r="GC35">
        <v>2.211</v>
      </c>
      <c r="GD35">
        <v>0.1075</v>
      </c>
      <c r="GE35">
        <v>2.383274935032047</v>
      </c>
      <c r="GF35">
        <v>-0.001033730503750798</v>
      </c>
      <c r="GG35">
        <v>9.120241388950126E-07</v>
      </c>
      <c r="GH35">
        <v>-2.246115299815222E-10</v>
      </c>
      <c r="GI35">
        <v>-0.02427283054383587</v>
      </c>
      <c r="GJ35">
        <v>-0.01814858093373864</v>
      </c>
      <c r="GK35">
        <v>0.002091959988359369</v>
      </c>
      <c r="GL35">
        <v>-1.90871700788604E-05</v>
      </c>
      <c r="GM35">
        <v>2</v>
      </c>
      <c r="GN35">
        <v>2210</v>
      </c>
      <c r="GO35">
        <v>1</v>
      </c>
      <c r="GP35">
        <v>26</v>
      </c>
      <c r="GQ35">
        <v>2.7</v>
      </c>
      <c r="GR35">
        <v>2.6</v>
      </c>
      <c r="GS35">
        <v>1.26221</v>
      </c>
      <c r="GT35">
        <v>2.37549</v>
      </c>
      <c r="GU35">
        <v>2.34741</v>
      </c>
      <c r="GV35">
        <v>2.75391</v>
      </c>
      <c r="GW35">
        <v>2.39868</v>
      </c>
      <c r="GX35">
        <v>2.27417</v>
      </c>
      <c r="GY35">
        <v>28.6901</v>
      </c>
      <c r="GZ35">
        <v>13.8869</v>
      </c>
      <c r="HA35">
        <v>18</v>
      </c>
      <c r="HB35">
        <v>763.48</v>
      </c>
      <c r="HC35">
        <v>662.9829999999999</v>
      </c>
      <c r="HD35">
        <v>21.8511</v>
      </c>
      <c r="HE35">
        <v>20.3567</v>
      </c>
      <c r="HF35">
        <v>29.9999</v>
      </c>
      <c r="HG35">
        <v>20.2565</v>
      </c>
      <c r="HH35">
        <v>20.2157</v>
      </c>
      <c r="HI35">
        <v>25.3027</v>
      </c>
      <c r="HJ35">
        <v>36.5205</v>
      </c>
      <c r="HK35">
        <v>43.8439</v>
      </c>
      <c r="HL35">
        <v>-999.9</v>
      </c>
      <c r="HM35">
        <v>405</v>
      </c>
      <c r="HN35">
        <v>12.4385</v>
      </c>
      <c r="HO35">
        <v>101.074</v>
      </c>
      <c r="HP35">
        <v>101.385</v>
      </c>
    </row>
    <row r="36" spans="1:224">
      <c r="A36">
        <v>20</v>
      </c>
      <c r="B36">
        <v>1750699090.1</v>
      </c>
      <c r="C36">
        <v>4227</v>
      </c>
      <c r="D36" t="s">
        <v>414</v>
      </c>
      <c r="E36" t="s">
        <v>415</v>
      </c>
      <c r="F36">
        <v>15</v>
      </c>
      <c r="G36">
        <v>1750699082.349999</v>
      </c>
      <c r="H36">
        <f>(I36)/1000</f>
        <v>0</v>
      </c>
      <c r="I36">
        <f>IF(BD36, AL36, AF36)</f>
        <v>0</v>
      </c>
      <c r="J36">
        <f>IF(BD36, AG36, AE36)</f>
        <v>0</v>
      </c>
      <c r="K36">
        <f>BF36 - IF(AS36&gt;1, J36*AZ36*100.0/(AU36), 0)</f>
        <v>0</v>
      </c>
      <c r="L36">
        <f>((R36-H36/2)*K36-J36)/(R36+H36/2)</f>
        <v>0</v>
      </c>
      <c r="M36">
        <f>L36*(BM36+BN36)/1000.0</f>
        <v>0</v>
      </c>
      <c r="N36">
        <f>(BF36 - IF(AS36&gt;1, J36*AZ36*100.0/(AU36), 0))*(BM36+BN36)/1000.0</f>
        <v>0</v>
      </c>
      <c r="O36">
        <f>2.0/((1/Q36-1/P36)+SIGN(Q36)*SQRT((1/Q36-1/P36)*(1/Q36-1/P36) + 4*BA36/((BA36+1)*(BA36+1))*(2*1/Q36*1/P36-1/P36*1/P36)))</f>
        <v>0</v>
      </c>
      <c r="P36">
        <f>IF(LEFT(BB36,1)&lt;&gt;"0",IF(LEFT(BB36,1)="1",3.0,BC36),$D$5+$E$5*(BT36*BM36/($K$5*1000))+$F$5*(BT36*BM36/($K$5*1000))*MAX(MIN(AZ36,$J$5),$I$5)*MAX(MIN(AZ36,$J$5),$I$5)+$G$5*MAX(MIN(AZ36,$J$5),$I$5)*(BT36*BM36/($K$5*1000))+$H$5*(BT36*BM36/($K$5*1000))*(BT36*BM36/($K$5*1000)))</f>
        <v>0</v>
      </c>
      <c r="Q36">
        <f>H36*(1000-(1000*0.61365*exp(17.502*U36/(240.97+U36))/(BM36+BN36)+BH36)/2)/(1000*0.61365*exp(17.502*U36/(240.97+U36))/(BM36+BN36)-BH36)</f>
        <v>0</v>
      </c>
      <c r="R36">
        <f>1/((BA36+1)/(O36/1.6)+1/(P36/1.37)) + BA36/((BA36+1)/(O36/1.6) + BA36/(P36/1.37))</f>
        <v>0</v>
      </c>
      <c r="S36">
        <f>(AV36*AY36)</f>
        <v>0</v>
      </c>
      <c r="T36">
        <f>(BO36+(S36+2*0.95*5.67E-8*(((BO36+$B$7)+273)^4-(BO36+273)^4)-44100*H36)/(1.84*29.3*P36+8*0.95*5.67E-8*(BO36+273)^3))</f>
        <v>0</v>
      </c>
      <c r="U36">
        <f>($C$7*BP36+$D$7*BQ36+$E$7*T36)</f>
        <v>0</v>
      </c>
      <c r="V36">
        <f>0.61365*exp(17.502*U36/(240.97+U36))</f>
        <v>0</v>
      </c>
      <c r="W36">
        <f>(X36/Y36*100)</f>
        <v>0</v>
      </c>
      <c r="X36">
        <f>BH36*(BM36+BN36)/1000</f>
        <v>0</v>
      </c>
      <c r="Y36">
        <f>0.61365*exp(17.502*BO36/(240.97+BO36))</f>
        <v>0</v>
      </c>
      <c r="Z36">
        <f>(V36-BH36*(BM36+BN36)/1000)</f>
        <v>0</v>
      </c>
      <c r="AA36">
        <f>(-H36*44100)</f>
        <v>0</v>
      </c>
      <c r="AB36">
        <f>2*29.3*P36*0.92*(BO36-U36)</f>
        <v>0</v>
      </c>
      <c r="AC36">
        <f>2*0.95*5.67E-8*(((BO36+$B$7)+273)^4-(U36+273)^4)</f>
        <v>0</v>
      </c>
      <c r="AD36">
        <f>S36+AC36+AA36+AB36</f>
        <v>0</v>
      </c>
      <c r="AE36">
        <f>BL36*AS36*(BG36-BF36*(1000-AS36*BI36)/(1000-AS36*BH36))/(100*AZ36)</f>
        <v>0</v>
      </c>
      <c r="AF36">
        <f>1000*BL36*AS36*(BH36-BI36)/(100*AZ36*(1000-AS36*BH36))</f>
        <v>0</v>
      </c>
      <c r="AG36">
        <f>(AH36 - AI36 - BM36*1E3/(8.314*(BO36+273.15)) * AK36/BL36 * AJ36) * BL36/(100*AZ36) * (1000 - BI36)/1000</f>
        <v>0</v>
      </c>
      <c r="AH36">
        <v>409.9842950755176</v>
      </c>
      <c r="AI36">
        <v>407.3328666666665</v>
      </c>
      <c r="AJ36">
        <v>0.009101756151490436</v>
      </c>
      <c r="AK36">
        <v>66.9603684185393</v>
      </c>
      <c r="AL36">
        <f>(AN36 - AM36 + BM36*1E3/(8.314*(BO36+273.15)) * AP36/BL36 * AO36) * BL36/(100*AZ36) * 1000/(1000 - AN36)</f>
        <v>0</v>
      </c>
      <c r="AM36">
        <v>12.11366972152552</v>
      </c>
      <c r="AN36">
        <v>14.83099333333333</v>
      </c>
      <c r="AO36">
        <v>0.001002824763260501</v>
      </c>
      <c r="AP36">
        <v>79.18565826797196</v>
      </c>
      <c r="AQ36">
        <v>114</v>
      </c>
      <c r="AR36">
        <v>14</v>
      </c>
      <c r="AS36">
        <f>IF(AQ36*$H$13&gt;=AU36,1.0,(AU36/(AU36-AQ36*$H$13)))</f>
        <v>0</v>
      </c>
      <c r="AT36">
        <f>(AS36-1)*100</f>
        <v>0</v>
      </c>
      <c r="AU36">
        <f>MAX(0,($B$13+$C$13*BT36)/(1+$D$13*BT36)*BM36/(BO36+273)*$E$13)</f>
        <v>0</v>
      </c>
      <c r="AV36">
        <f>$B$11*BU36+$C$11*BV36+$F$11*CG36*(1-CJ36)</f>
        <v>0</v>
      </c>
      <c r="AW36">
        <f>AV36*AX36</f>
        <v>0</v>
      </c>
      <c r="AX36">
        <f>($B$11*$D$9+$C$11*$D$9+$F$11*((CT36+CL36)/MAX(CT36+CL36+CU36, 0.1)*$I$9+CU36/MAX(CT36+CL36+CU36, 0.1)*$J$9))/($B$11+$C$11+$F$11)</f>
        <v>0</v>
      </c>
      <c r="AY36">
        <f>($B$11*$K$9+$C$11*$K$9+$F$11*((CT36+CL36)/MAX(CT36+CL36+CU36, 0.1)*$P$9+CU36/MAX(CT36+CL36+CU36, 0.1)*$Q$9))/($B$11+$C$11+$F$11)</f>
        <v>0</v>
      </c>
      <c r="AZ36">
        <v>6</v>
      </c>
      <c r="BA36">
        <v>0.5</v>
      </c>
      <c r="BB36" t="s">
        <v>353</v>
      </c>
      <c r="BC36">
        <v>2</v>
      </c>
      <c r="BD36" t="b">
        <v>0</v>
      </c>
      <c r="BE36">
        <v>1750699082.349999</v>
      </c>
      <c r="BF36">
        <v>401.2712666666667</v>
      </c>
      <c r="BG36">
        <v>404.9788</v>
      </c>
      <c r="BH36">
        <v>14.79530666666667</v>
      </c>
      <c r="BI36">
        <v>12.09424666666667</v>
      </c>
      <c r="BJ36">
        <v>399.0272666666667</v>
      </c>
      <c r="BK36">
        <v>14.69509666666666</v>
      </c>
      <c r="BL36">
        <v>800.0271333333332</v>
      </c>
      <c r="BM36">
        <v>101.4292666666667</v>
      </c>
      <c r="BN36">
        <v>0.1000558366666666</v>
      </c>
      <c r="BO36">
        <v>22.66628333333334</v>
      </c>
      <c r="BP36">
        <v>22.07428666666666</v>
      </c>
      <c r="BQ36">
        <v>999.9000000000002</v>
      </c>
      <c r="BR36">
        <v>0</v>
      </c>
      <c r="BS36">
        <v>0</v>
      </c>
      <c r="BT36">
        <v>10004.47166666667</v>
      </c>
      <c r="BU36">
        <v>0</v>
      </c>
      <c r="BV36">
        <v>0.00152894</v>
      </c>
      <c r="BW36">
        <v>-3.738443666666667</v>
      </c>
      <c r="BX36">
        <v>407.2659666666667</v>
      </c>
      <c r="BY36">
        <v>409.9366666666666</v>
      </c>
      <c r="BZ36">
        <v>2.701066333333334</v>
      </c>
      <c r="CA36">
        <v>404.9788</v>
      </c>
      <c r="CB36">
        <v>12.09424666666667</v>
      </c>
      <c r="CC36">
        <v>1.500677333333333</v>
      </c>
      <c r="CD36">
        <v>1.226709666666667</v>
      </c>
      <c r="CE36">
        <v>12.97502</v>
      </c>
      <c r="CF36">
        <v>9.929653666666667</v>
      </c>
      <c r="CG36">
        <v>1000.013033333333</v>
      </c>
      <c r="CH36">
        <v>0.9600112666666667</v>
      </c>
      <c r="CI36">
        <v>0.03998848000000001</v>
      </c>
      <c r="CJ36">
        <v>0</v>
      </c>
      <c r="CK36">
        <v>0.6129999999999999</v>
      </c>
      <c r="CL36">
        <v>0</v>
      </c>
      <c r="CM36">
        <v>5929.680666666668</v>
      </c>
      <c r="CN36">
        <v>7947.063333333334</v>
      </c>
      <c r="CO36">
        <v>38.40806666666665</v>
      </c>
      <c r="CP36">
        <v>40.69133333333333</v>
      </c>
      <c r="CQ36">
        <v>39.66219999999998</v>
      </c>
      <c r="CR36">
        <v>40.51639999999998</v>
      </c>
      <c r="CS36">
        <v>38.2164</v>
      </c>
      <c r="CT36">
        <v>960.0233333333332</v>
      </c>
      <c r="CU36">
        <v>39.99</v>
      </c>
      <c r="CV36">
        <v>0</v>
      </c>
      <c r="CW36">
        <v>1750699107.2</v>
      </c>
      <c r="CX36">
        <v>0</v>
      </c>
      <c r="CY36">
        <v>1750699107.1</v>
      </c>
      <c r="CZ36" t="s">
        <v>416</v>
      </c>
      <c r="DA36">
        <v>1750699107.1</v>
      </c>
      <c r="DB36">
        <v>1750698783.6</v>
      </c>
      <c r="DC36">
        <v>19</v>
      </c>
      <c r="DD36">
        <v>0.032</v>
      </c>
      <c r="DE36">
        <v>0.003</v>
      </c>
      <c r="DF36">
        <v>2.244</v>
      </c>
      <c r="DG36">
        <v>0.08500000000000001</v>
      </c>
      <c r="DH36">
        <v>405</v>
      </c>
      <c r="DI36">
        <v>14</v>
      </c>
      <c r="DJ36">
        <v>0.41</v>
      </c>
      <c r="DK36">
        <v>0.13</v>
      </c>
      <c r="DL36">
        <v>-3.73646125</v>
      </c>
      <c r="DM36">
        <v>-0.09546990619136679</v>
      </c>
      <c r="DN36">
        <v>0.0161060965456407</v>
      </c>
      <c r="DO36">
        <v>1</v>
      </c>
      <c r="DP36">
        <v>2.71757875</v>
      </c>
      <c r="DQ36">
        <v>-0.2199495309568519</v>
      </c>
      <c r="DR36">
        <v>0.03462287568844474</v>
      </c>
      <c r="DS36">
        <v>0</v>
      </c>
      <c r="DT36">
        <v>1</v>
      </c>
      <c r="DU36">
        <v>2</v>
      </c>
      <c r="DV36" t="s">
        <v>355</v>
      </c>
      <c r="DW36">
        <v>3.44676</v>
      </c>
      <c r="DX36">
        <v>2.7802</v>
      </c>
      <c r="DY36">
        <v>0.0976736</v>
      </c>
      <c r="DZ36">
        <v>0.0986911</v>
      </c>
      <c r="EA36">
        <v>0.0853039</v>
      </c>
      <c r="EB36">
        <v>0.07325189999999999</v>
      </c>
      <c r="EC36">
        <v>27357.4</v>
      </c>
      <c r="ED36">
        <v>31088.7</v>
      </c>
      <c r="EE36">
        <v>29437</v>
      </c>
      <c r="EF36">
        <v>35066.8</v>
      </c>
      <c r="EG36">
        <v>31139.5</v>
      </c>
      <c r="EH36">
        <v>40365</v>
      </c>
      <c r="EI36">
        <v>36240.8</v>
      </c>
      <c r="EJ36">
        <v>46445.9</v>
      </c>
      <c r="EK36">
        <v>2.39587</v>
      </c>
      <c r="EL36">
        <v>2.31253</v>
      </c>
      <c r="EM36">
        <v>0.0979975</v>
      </c>
      <c r="EN36">
        <v>0</v>
      </c>
      <c r="EO36">
        <v>20.4865</v>
      </c>
      <c r="EP36">
        <v>999.9</v>
      </c>
      <c r="EQ36">
        <v>63.2</v>
      </c>
      <c r="ER36">
        <v>24.1</v>
      </c>
      <c r="ES36">
        <v>18.7749</v>
      </c>
      <c r="ET36">
        <v>61.7373</v>
      </c>
      <c r="EU36">
        <v>26.6707</v>
      </c>
      <c r="EV36">
        <v>2</v>
      </c>
      <c r="EW36">
        <v>-0.536494</v>
      </c>
      <c r="EX36">
        <v>0</v>
      </c>
      <c r="EY36">
        <v>20.2938</v>
      </c>
      <c r="EZ36">
        <v>5.21115</v>
      </c>
      <c r="FA36">
        <v>11.968</v>
      </c>
      <c r="FB36">
        <v>4.9908</v>
      </c>
      <c r="FC36">
        <v>3.27128</v>
      </c>
      <c r="FD36">
        <v>2757</v>
      </c>
      <c r="FE36">
        <v>9999</v>
      </c>
      <c r="FF36">
        <v>9999</v>
      </c>
      <c r="FG36">
        <v>999.9</v>
      </c>
      <c r="FH36">
        <v>4.9726</v>
      </c>
      <c r="FI36">
        <v>1.86249</v>
      </c>
      <c r="FJ36">
        <v>1.86417</v>
      </c>
      <c r="FK36">
        <v>1.86264</v>
      </c>
      <c r="FL36">
        <v>1.86264</v>
      </c>
      <c r="FM36">
        <v>1.86325</v>
      </c>
      <c r="FN36">
        <v>1.85974</v>
      </c>
      <c r="FO36">
        <v>1.86252</v>
      </c>
      <c r="FP36">
        <v>0</v>
      </c>
      <c r="FQ36">
        <v>0</v>
      </c>
      <c r="FR36">
        <v>0</v>
      </c>
      <c r="FS36">
        <v>0</v>
      </c>
      <c r="FT36" t="s">
        <v>356</v>
      </c>
      <c r="FU36" t="s">
        <v>357</v>
      </c>
      <c r="FV36" t="s">
        <v>358</v>
      </c>
      <c r="FW36" t="s">
        <v>358</v>
      </c>
      <c r="FX36" t="s">
        <v>358</v>
      </c>
      <c r="FY36" t="s">
        <v>358</v>
      </c>
      <c r="FZ36">
        <v>0</v>
      </c>
      <c r="GA36">
        <v>100</v>
      </c>
      <c r="GB36">
        <v>100</v>
      </c>
      <c r="GC36">
        <v>2.244</v>
      </c>
      <c r="GD36">
        <v>0.1013</v>
      </c>
      <c r="GE36">
        <v>2.494571230826135</v>
      </c>
      <c r="GF36">
        <v>-0.001033730503750798</v>
      </c>
      <c r="GG36">
        <v>9.120241388950126E-07</v>
      </c>
      <c r="GH36">
        <v>-2.246115299815222E-10</v>
      </c>
      <c r="GI36">
        <v>-0.02427283054383587</v>
      </c>
      <c r="GJ36">
        <v>-0.01814858093373864</v>
      </c>
      <c r="GK36">
        <v>0.002091959988359369</v>
      </c>
      <c r="GL36">
        <v>-1.90871700788604E-05</v>
      </c>
      <c r="GM36">
        <v>2</v>
      </c>
      <c r="GN36">
        <v>2210</v>
      </c>
      <c r="GO36">
        <v>1</v>
      </c>
      <c r="GP36">
        <v>26</v>
      </c>
      <c r="GQ36">
        <v>2.2</v>
      </c>
      <c r="GR36">
        <v>5.1</v>
      </c>
      <c r="GS36">
        <v>1.26221</v>
      </c>
      <c r="GT36">
        <v>2.38159</v>
      </c>
      <c r="GU36">
        <v>2.34741</v>
      </c>
      <c r="GV36">
        <v>2.75513</v>
      </c>
      <c r="GW36">
        <v>2.39868</v>
      </c>
      <c r="GX36">
        <v>2.24976</v>
      </c>
      <c r="GY36">
        <v>28.6901</v>
      </c>
      <c r="GZ36">
        <v>13.8518</v>
      </c>
      <c r="HA36">
        <v>18</v>
      </c>
      <c r="HB36">
        <v>666.8680000000001</v>
      </c>
      <c r="HC36">
        <v>661.301</v>
      </c>
      <c r="HD36">
        <v>21.7314</v>
      </c>
      <c r="HE36">
        <v>20.2846</v>
      </c>
      <c r="HF36">
        <v>30.0003</v>
      </c>
      <c r="HG36">
        <v>20.1828</v>
      </c>
      <c r="HH36">
        <v>20.1438</v>
      </c>
      <c r="HI36">
        <v>25.3006</v>
      </c>
      <c r="HJ36">
        <v>36.7102</v>
      </c>
      <c r="HK36">
        <v>40.4701</v>
      </c>
      <c r="HL36">
        <v>-999.9</v>
      </c>
      <c r="HM36">
        <v>405</v>
      </c>
      <c r="HN36">
        <v>12.2724</v>
      </c>
      <c r="HO36">
        <v>101.076</v>
      </c>
      <c r="HP36">
        <v>101.389</v>
      </c>
    </row>
    <row r="37" spans="1:224">
      <c r="A37">
        <v>21</v>
      </c>
      <c r="B37">
        <v>1750699297.6</v>
      </c>
      <c r="C37">
        <v>4434.5</v>
      </c>
      <c r="D37" t="s">
        <v>417</v>
      </c>
      <c r="E37" t="s">
        <v>418</v>
      </c>
      <c r="F37">
        <v>15</v>
      </c>
      <c r="G37">
        <v>1750699289.849999</v>
      </c>
      <c r="H37">
        <f>(I37)/1000</f>
        <v>0</v>
      </c>
      <c r="I37">
        <f>IF(BD37, AL37, AF37)</f>
        <v>0</v>
      </c>
      <c r="J37">
        <f>IF(BD37, AG37, AE37)</f>
        <v>0</v>
      </c>
      <c r="K37">
        <f>BF37 - IF(AS37&gt;1, J37*AZ37*100.0/(AU37), 0)</f>
        <v>0</v>
      </c>
      <c r="L37">
        <f>((R37-H37/2)*K37-J37)/(R37+H37/2)</f>
        <v>0</v>
      </c>
      <c r="M37">
        <f>L37*(BM37+BN37)/1000.0</f>
        <v>0</v>
      </c>
      <c r="N37">
        <f>(BF37 - IF(AS37&gt;1, J37*AZ37*100.0/(AU37), 0))*(BM37+BN37)/1000.0</f>
        <v>0</v>
      </c>
      <c r="O37">
        <f>2.0/((1/Q37-1/P37)+SIGN(Q37)*SQRT((1/Q37-1/P37)*(1/Q37-1/P37) + 4*BA37/((BA37+1)*(BA37+1))*(2*1/Q37*1/P37-1/P37*1/P37)))</f>
        <v>0</v>
      </c>
      <c r="P37">
        <f>IF(LEFT(BB37,1)&lt;&gt;"0",IF(LEFT(BB37,1)="1",3.0,BC37),$D$5+$E$5*(BT37*BM37/($K$5*1000))+$F$5*(BT37*BM37/($K$5*1000))*MAX(MIN(AZ37,$J$5),$I$5)*MAX(MIN(AZ37,$J$5),$I$5)+$G$5*MAX(MIN(AZ37,$J$5),$I$5)*(BT37*BM37/($K$5*1000))+$H$5*(BT37*BM37/($K$5*1000))*(BT37*BM37/($K$5*1000)))</f>
        <v>0</v>
      </c>
      <c r="Q37">
        <f>H37*(1000-(1000*0.61365*exp(17.502*U37/(240.97+U37))/(BM37+BN37)+BH37)/2)/(1000*0.61365*exp(17.502*U37/(240.97+U37))/(BM37+BN37)-BH37)</f>
        <v>0</v>
      </c>
      <c r="R37">
        <f>1/((BA37+1)/(O37/1.6)+1/(P37/1.37)) + BA37/((BA37+1)/(O37/1.6) + BA37/(P37/1.37))</f>
        <v>0</v>
      </c>
      <c r="S37">
        <f>(AV37*AY37)</f>
        <v>0</v>
      </c>
      <c r="T37">
        <f>(BO37+(S37+2*0.95*5.67E-8*(((BO37+$B$7)+273)^4-(BO37+273)^4)-44100*H37)/(1.84*29.3*P37+8*0.95*5.67E-8*(BO37+273)^3))</f>
        <v>0</v>
      </c>
      <c r="U37">
        <f>($C$7*BP37+$D$7*BQ37+$E$7*T37)</f>
        <v>0</v>
      </c>
      <c r="V37">
        <f>0.61365*exp(17.502*U37/(240.97+U37))</f>
        <v>0</v>
      </c>
      <c r="W37">
        <f>(X37/Y37*100)</f>
        <v>0</v>
      </c>
      <c r="X37">
        <f>BH37*(BM37+BN37)/1000</f>
        <v>0</v>
      </c>
      <c r="Y37">
        <f>0.61365*exp(17.502*BO37/(240.97+BO37))</f>
        <v>0</v>
      </c>
      <c r="Z37">
        <f>(V37-BH37*(BM37+BN37)/1000)</f>
        <v>0</v>
      </c>
      <c r="AA37">
        <f>(-H37*44100)</f>
        <v>0</v>
      </c>
      <c r="AB37">
        <f>2*29.3*P37*0.92*(BO37-U37)</f>
        <v>0</v>
      </c>
      <c r="AC37">
        <f>2*0.95*5.67E-8*(((BO37+$B$7)+273)^4-(U37+273)^4)</f>
        <v>0</v>
      </c>
      <c r="AD37">
        <f>S37+AC37+AA37+AB37</f>
        <v>0</v>
      </c>
      <c r="AE37">
        <f>BL37*AS37*(BG37-BF37*(1000-AS37*BI37)/(1000-AS37*BH37))/(100*AZ37)</f>
        <v>0</v>
      </c>
      <c r="AF37">
        <f>1000*BL37*AS37*(BH37-BI37)/(100*AZ37*(1000-AS37*BH37))</f>
        <v>0</v>
      </c>
      <c r="AG37">
        <f>(AH37 - AI37 - BM37*1E3/(8.314*(BO37+273.15)) * AK37/BL37 * AJ37) * BL37/(100*AZ37) * (1000 - BI37)/1000</f>
        <v>0</v>
      </c>
      <c r="AH37">
        <v>410.1862734818218</v>
      </c>
      <c r="AI37">
        <v>419.2399212121214</v>
      </c>
      <c r="AJ37">
        <v>-0.001860904290343003</v>
      </c>
      <c r="AK37">
        <v>66.95944773634069</v>
      </c>
      <c r="AL37">
        <f>(AN37 - AM37 + BM37*1E3/(8.314*(BO37+273.15)) * AP37/BL37 * AO37) * BL37/(100*AZ37) * 1000/(1000 - AN37)</f>
        <v>0</v>
      </c>
      <c r="AM37">
        <v>12.68888050981942</v>
      </c>
      <c r="AN37">
        <v>14.54284606060606</v>
      </c>
      <c r="AO37">
        <v>3.014696993001644E-06</v>
      </c>
      <c r="AP37">
        <v>79.19636569832986</v>
      </c>
      <c r="AQ37">
        <v>802</v>
      </c>
      <c r="AR37">
        <v>100</v>
      </c>
      <c r="AS37">
        <f>IF(AQ37*$H$13&gt;=AU37,1.0,(AU37/(AU37-AQ37*$H$13)))</f>
        <v>0</v>
      </c>
      <c r="AT37">
        <f>(AS37-1)*100</f>
        <v>0</v>
      </c>
      <c r="AU37">
        <f>MAX(0,($B$13+$C$13*BT37)/(1+$D$13*BT37)*BM37/(BO37+273)*$E$13)</f>
        <v>0</v>
      </c>
      <c r="AV37">
        <f>$B$11*BU37+$C$11*BV37+$F$11*CG37*(1-CJ37)</f>
        <v>0</v>
      </c>
      <c r="AW37">
        <f>AV37*AX37</f>
        <v>0</v>
      </c>
      <c r="AX37">
        <f>($B$11*$D$9+$C$11*$D$9+$F$11*((CT37+CL37)/MAX(CT37+CL37+CU37, 0.1)*$I$9+CU37/MAX(CT37+CL37+CU37, 0.1)*$J$9))/($B$11+$C$11+$F$11)</f>
        <v>0</v>
      </c>
      <c r="AY37">
        <f>($B$11*$K$9+$C$11*$K$9+$F$11*((CT37+CL37)/MAX(CT37+CL37+CU37, 0.1)*$P$9+CU37/MAX(CT37+CL37+CU37, 0.1)*$Q$9))/($B$11+$C$11+$F$11)</f>
        <v>0</v>
      </c>
      <c r="AZ37">
        <v>6</v>
      </c>
      <c r="BA37">
        <v>0.5</v>
      </c>
      <c r="BB37" t="s">
        <v>353</v>
      </c>
      <c r="BC37">
        <v>2</v>
      </c>
      <c r="BD37" t="b">
        <v>0</v>
      </c>
      <c r="BE37">
        <v>1750699289.849999</v>
      </c>
      <c r="BF37">
        <v>413.0765</v>
      </c>
      <c r="BG37">
        <v>405.0031333333333</v>
      </c>
      <c r="BH37">
        <v>14.53993333333334</v>
      </c>
      <c r="BI37">
        <v>12.69250333333333</v>
      </c>
      <c r="BJ37">
        <v>410.8715</v>
      </c>
      <c r="BK37">
        <v>14.44731</v>
      </c>
      <c r="BL37">
        <v>799.9838333333333</v>
      </c>
      <c r="BM37">
        <v>101.4359666666667</v>
      </c>
      <c r="BN37">
        <v>0.03742372</v>
      </c>
      <c r="BO37">
        <v>22.95205333333334</v>
      </c>
      <c r="BP37">
        <v>19.9865</v>
      </c>
      <c r="BQ37">
        <v>999.9000000000002</v>
      </c>
      <c r="BR37">
        <v>0</v>
      </c>
      <c r="BS37">
        <v>0</v>
      </c>
      <c r="BT37">
        <v>9997.521000000001</v>
      </c>
      <c r="BU37">
        <v>0</v>
      </c>
      <c r="BV37">
        <v>0.00152894</v>
      </c>
      <c r="BW37">
        <v>8.109271</v>
      </c>
      <c r="BX37">
        <v>419.2077</v>
      </c>
      <c r="BY37">
        <v>410.2098333333332</v>
      </c>
      <c r="BZ37">
        <v>1.847436333333334</v>
      </c>
      <c r="CA37">
        <v>405.0031333333333</v>
      </c>
      <c r="CB37">
        <v>12.69250333333333</v>
      </c>
      <c r="CC37">
        <v>1.474872666666667</v>
      </c>
      <c r="CD37">
        <v>1.287476</v>
      </c>
      <c r="CE37">
        <v>12.71014</v>
      </c>
      <c r="CF37">
        <v>10.65343666666666</v>
      </c>
      <c r="CG37">
        <v>1000.058033333333</v>
      </c>
      <c r="CH37">
        <v>0.9600069999999999</v>
      </c>
      <c r="CI37">
        <v>0.03999291000000001</v>
      </c>
      <c r="CJ37">
        <v>0</v>
      </c>
      <c r="CK37">
        <v>0.4498333333333335</v>
      </c>
      <c r="CL37">
        <v>0</v>
      </c>
      <c r="CM37">
        <v>5460.463666666667</v>
      </c>
      <c r="CN37">
        <v>7947.399</v>
      </c>
      <c r="CO37">
        <v>38.67059999999999</v>
      </c>
      <c r="CP37">
        <v>40.59769999999999</v>
      </c>
      <c r="CQ37">
        <v>39.99973333333332</v>
      </c>
      <c r="CR37">
        <v>40.39766666666665</v>
      </c>
      <c r="CS37">
        <v>38.48516666666666</v>
      </c>
      <c r="CT37">
        <v>960.0626666666666</v>
      </c>
      <c r="CU37">
        <v>39.99566666666667</v>
      </c>
      <c r="CV37">
        <v>0</v>
      </c>
      <c r="CW37">
        <v>1750699314.2</v>
      </c>
      <c r="CX37">
        <v>0</v>
      </c>
      <c r="CY37">
        <v>1750699319.6</v>
      </c>
      <c r="CZ37" t="s">
        <v>419</v>
      </c>
      <c r="DA37">
        <v>1750699319.6</v>
      </c>
      <c r="DB37">
        <v>1750698783.6</v>
      </c>
      <c r="DC37">
        <v>20</v>
      </c>
      <c r="DD37">
        <v>-0.039</v>
      </c>
      <c r="DE37">
        <v>0.003</v>
      </c>
      <c r="DF37">
        <v>2.205</v>
      </c>
      <c r="DG37">
        <v>0.08500000000000001</v>
      </c>
      <c r="DH37">
        <v>405</v>
      </c>
      <c r="DI37">
        <v>14</v>
      </c>
      <c r="DJ37">
        <v>0.16</v>
      </c>
      <c r="DK37">
        <v>0.13</v>
      </c>
      <c r="DL37">
        <v>8.101371</v>
      </c>
      <c r="DM37">
        <v>0.3899198499061715</v>
      </c>
      <c r="DN37">
        <v>0.05872773905063937</v>
      </c>
      <c r="DO37">
        <v>0</v>
      </c>
      <c r="DP37">
        <v>1.8450225</v>
      </c>
      <c r="DQ37">
        <v>0.04969170731707005</v>
      </c>
      <c r="DR37">
        <v>0.005253344054028827</v>
      </c>
      <c r="DS37">
        <v>1</v>
      </c>
      <c r="DT37">
        <v>1</v>
      </c>
      <c r="DU37">
        <v>2</v>
      </c>
      <c r="DV37" t="s">
        <v>355</v>
      </c>
      <c r="DW37">
        <v>3.44707</v>
      </c>
      <c r="DX37">
        <v>2.71799</v>
      </c>
      <c r="DY37">
        <v>0.0997759</v>
      </c>
      <c r="DZ37">
        <v>0.09866270000000001</v>
      </c>
      <c r="EA37">
        <v>0.0840328</v>
      </c>
      <c r="EB37">
        <v>0.07579420000000001</v>
      </c>
      <c r="EC37">
        <v>27281</v>
      </c>
      <c r="ED37">
        <v>31075.7</v>
      </c>
      <c r="EE37">
        <v>29424</v>
      </c>
      <c r="EF37">
        <v>35052</v>
      </c>
      <c r="EG37">
        <v>31169.9</v>
      </c>
      <c r="EH37">
        <v>40236.1</v>
      </c>
      <c r="EI37">
        <v>36224.3</v>
      </c>
      <c r="EJ37">
        <v>46425.2</v>
      </c>
      <c r="EK37">
        <v>0.288</v>
      </c>
      <c r="EL37">
        <v>2.3094</v>
      </c>
      <c r="EM37">
        <v>-0.0477135</v>
      </c>
      <c r="EN37">
        <v>0</v>
      </c>
      <c r="EO37">
        <v>20.8781</v>
      </c>
      <c r="EP37">
        <v>999.9</v>
      </c>
      <c r="EQ37">
        <v>62.3</v>
      </c>
      <c r="ER37">
        <v>24.2</v>
      </c>
      <c r="ES37">
        <v>18.6168</v>
      </c>
      <c r="ET37">
        <v>61.1073</v>
      </c>
      <c r="EU37">
        <v>22.1595</v>
      </c>
      <c r="EV37">
        <v>2</v>
      </c>
      <c r="EW37">
        <v>-0.518374</v>
      </c>
      <c r="EX37">
        <v>0</v>
      </c>
      <c r="EY37">
        <v>20.2926</v>
      </c>
      <c r="EZ37">
        <v>5.21609</v>
      </c>
      <c r="FA37">
        <v>11.968</v>
      </c>
      <c r="FB37">
        <v>4.992</v>
      </c>
      <c r="FC37">
        <v>3.27192</v>
      </c>
      <c r="FD37">
        <v>2763.6</v>
      </c>
      <c r="FE37">
        <v>9999</v>
      </c>
      <c r="FF37">
        <v>9999</v>
      </c>
      <c r="FG37">
        <v>999.9</v>
      </c>
      <c r="FH37">
        <v>4.97261</v>
      </c>
      <c r="FI37">
        <v>1.86249</v>
      </c>
      <c r="FJ37">
        <v>1.86419</v>
      </c>
      <c r="FK37">
        <v>1.86264</v>
      </c>
      <c r="FL37">
        <v>1.86267</v>
      </c>
      <c r="FM37">
        <v>1.86325</v>
      </c>
      <c r="FN37">
        <v>1.85974</v>
      </c>
      <c r="FO37">
        <v>1.86261</v>
      </c>
      <c r="FP37">
        <v>0</v>
      </c>
      <c r="FQ37">
        <v>0</v>
      </c>
      <c r="FR37">
        <v>0</v>
      </c>
      <c r="FS37">
        <v>0</v>
      </c>
      <c r="FT37" t="s">
        <v>356</v>
      </c>
      <c r="FU37" t="s">
        <v>357</v>
      </c>
      <c r="FV37" t="s">
        <v>358</v>
      </c>
      <c r="FW37" t="s">
        <v>358</v>
      </c>
      <c r="FX37" t="s">
        <v>358</v>
      </c>
      <c r="FY37" t="s">
        <v>358</v>
      </c>
      <c r="FZ37">
        <v>0</v>
      </c>
      <c r="GA37">
        <v>100</v>
      </c>
      <c r="GB37">
        <v>100</v>
      </c>
      <c r="GC37">
        <v>2.205</v>
      </c>
      <c r="GD37">
        <v>0.0927</v>
      </c>
      <c r="GE37">
        <v>2.527163309118028</v>
      </c>
      <c r="GF37">
        <v>-0.001033730503750798</v>
      </c>
      <c r="GG37">
        <v>9.120241388950126E-07</v>
      </c>
      <c r="GH37">
        <v>-2.246115299815222E-10</v>
      </c>
      <c r="GI37">
        <v>-0.02427283054383587</v>
      </c>
      <c r="GJ37">
        <v>-0.01814858093373864</v>
      </c>
      <c r="GK37">
        <v>0.002091959988359369</v>
      </c>
      <c r="GL37">
        <v>-1.90871700788604E-05</v>
      </c>
      <c r="GM37">
        <v>2</v>
      </c>
      <c r="GN37">
        <v>2210</v>
      </c>
      <c r="GO37">
        <v>1</v>
      </c>
      <c r="GP37">
        <v>26</v>
      </c>
      <c r="GQ37">
        <v>3.2</v>
      </c>
      <c r="GR37">
        <v>8.6</v>
      </c>
      <c r="GS37">
        <v>1.26221</v>
      </c>
      <c r="GT37">
        <v>2.37793</v>
      </c>
      <c r="GU37">
        <v>2.34741</v>
      </c>
      <c r="GV37">
        <v>2.75513</v>
      </c>
      <c r="GW37">
        <v>2.39868</v>
      </c>
      <c r="GX37">
        <v>2.24976</v>
      </c>
      <c r="GY37">
        <v>28.8168</v>
      </c>
      <c r="GZ37">
        <v>13.8168</v>
      </c>
      <c r="HA37">
        <v>18</v>
      </c>
      <c r="HB37">
        <v>-1.96214</v>
      </c>
      <c r="HC37">
        <v>661.0700000000001</v>
      </c>
      <c r="HD37">
        <v>21.8333</v>
      </c>
      <c r="HE37">
        <v>20.5229</v>
      </c>
      <c r="HF37">
        <v>30.0005</v>
      </c>
      <c r="HG37">
        <v>20.5532</v>
      </c>
      <c r="HH37">
        <v>20.3126</v>
      </c>
      <c r="HI37">
        <v>25.3176</v>
      </c>
      <c r="HJ37">
        <v>34.1809</v>
      </c>
      <c r="HK37">
        <v>36.3522</v>
      </c>
      <c r="HL37">
        <v>-999.9</v>
      </c>
      <c r="HM37">
        <v>405</v>
      </c>
      <c r="HN37">
        <v>12.7503</v>
      </c>
      <c r="HO37">
        <v>101.031</v>
      </c>
      <c r="HP37">
        <v>101.345</v>
      </c>
    </row>
    <row r="38" spans="1:224">
      <c r="A38">
        <v>22</v>
      </c>
      <c r="B38">
        <v>1750699458.1</v>
      </c>
      <c r="C38">
        <v>4595</v>
      </c>
      <c r="D38" t="s">
        <v>420</v>
      </c>
      <c r="E38" t="s">
        <v>421</v>
      </c>
      <c r="F38">
        <v>15</v>
      </c>
      <c r="G38">
        <v>1750699450.349999</v>
      </c>
      <c r="H38">
        <f>(I38)/1000</f>
        <v>0</v>
      </c>
      <c r="I38">
        <f>IF(BD38, AL38, AF38)</f>
        <v>0</v>
      </c>
      <c r="J38">
        <f>IF(BD38, AG38, AE38)</f>
        <v>0</v>
      </c>
      <c r="K38">
        <f>BF38 - IF(AS38&gt;1, J38*AZ38*100.0/(AU38), 0)</f>
        <v>0</v>
      </c>
      <c r="L38">
        <f>((R38-H38/2)*K38-J38)/(R38+H38/2)</f>
        <v>0</v>
      </c>
      <c r="M38">
        <f>L38*(BM38+BN38)/1000.0</f>
        <v>0</v>
      </c>
      <c r="N38">
        <f>(BF38 - IF(AS38&gt;1, J38*AZ38*100.0/(AU38), 0))*(BM38+BN38)/1000.0</f>
        <v>0</v>
      </c>
      <c r="O38">
        <f>2.0/((1/Q38-1/P38)+SIGN(Q38)*SQRT((1/Q38-1/P38)*(1/Q38-1/P38) + 4*BA38/((BA38+1)*(BA38+1))*(2*1/Q38*1/P38-1/P38*1/P38)))</f>
        <v>0</v>
      </c>
      <c r="P38">
        <f>IF(LEFT(BB38,1)&lt;&gt;"0",IF(LEFT(BB38,1)="1",3.0,BC38),$D$5+$E$5*(BT38*BM38/($K$5*1000))+$F$5*(BT38*BM38/($K$5*1000))*MAX(MIN(AZ38,$J$5),$I$5)*MAX(MIN(AZ38,$J$5),$I$5)+$G$5*MAX(MIN(AZ38,$J$5),$I$5)*(BT38*BM38/($K$5*1000))+$H$5*(BT38*BM38/($K$5*1000))*(BT38*BM38/($K$5*1000)))</f>
        <v>0</v>
      </c>
      <c r="Q38">
        <f>H38*(1000-(1000*0.61365*exp(17.502*U38/(240.97+U38))/(BM38+BN38)+BH38)/2)/(1000*0.61365*exp(17.502*U38/(240.97+U38))/(BM38+BN38)-BH38)</f>
        <v>0</v>
      </c>
      <c r="R38">
        <f>1/((BA38+1)/(O38/1.6)+1/(P38/1.37)) + BA38/((BA38+1)/(O38/1.6) + BA38/(P38/1.37))</f>
        <v>0</v>
      </c>
      <c r="S38">
        <f>(AV38*AY38)</f>
        <v>0</v>
      </c>
      <c r="T38">
        <f>(BO38+(S38+2*0.95*5.67E-8*(((BO38+$B$7)+273)^4-(BO38+273)^4)-44100*H38)/(1.84*29.3*P38+8*0.95*5.67E-8*(BO38+273)^3))</f>
        <v>0</v>
      </c>
      <c r="U38">
        <f>($C$7*BP38+$D$7*BQ38+$E$7*T38)</f>
        <v>0</v>
      </c>
      <c r="V38">
        <f>0.61365*exp(17.502*U38/(240.97+U38))</f>
        <v>0</v>
      </c>
      <c r="W38">
        <f>(X38/Y38*100)</f>
        <v>0</v>
      </c>
      <c r="X38">
        <f>BH38*(BM38+BN38)/1000</f>
        <v>0</v>
      </c>
      <c r="Y38">
        <f>0.61365*exp(17.502*BO38/(240.97+BO38))</f>
        <v>0</v>
      </c>
      <c r="Z38">
        <f>(V38-BH38*(BM38+BN38)/1000)</f>
        <v>0</v>
      </c>
      <c r="AA38">
        <f>(-H38*44100)</f>
        <v>0</v>
      </c>
      <c r="AB38">
        <f>2*29.3*P38*0.92*(BO38-U38)</f>
        <v>0</v>
      </c>
      <c r="AC38">
        <f>2*0.95*5.67E-8*(((BO38+$B$7)+273)^4-(U38+273)^4)</f>
        <v>0</v>
      </c>
      <c r="AD38">
        <f>S38+AC38+AA38+AB38</f>
        <v>0</v>
      </c>
      <c r="AE38">
        <f>BL38*AS38*(BG38-BF38*(1000-AS38*BI38)/(1000-AS38*BH38))/(100*AZ38)</f>
        <v>0</v>
      </c>
      <c r="AF38">
        <f>1000*BL38*AS38*(BH38-BI38)/(100*AZ38*(1000-AS38*BH38))</f>
        <v>0</v>
      </c>
      <c r="AG38">
        <f>(AH38 - AI38 - BM38*1E3/(8.314*(BO38+273.15)) * AK38/BL38 * AJ38) * BL38/(100*AZ38) * (1000 - BI38)/1000</f>
        <v>0</v>
      </c>
      <c r="AH38">
        <v>410.5010299347135</v>
      </c>
      <c r="AI38">
        <v>402.5835272727273</v>
      </c>
      <c r="AJ38">
        <v>-0.0008469147577395547</v>
      </c>
      <c r="AK38">
        <v>66.95454628672204</v>
      </c>
      <c r="AL38">
        <f>(AN38 - AM38 + BM38*1E3/(8.314*(BO38+273.15)) * AP38/BL38 * AO38) * BL38/(100*AZ38) * 1000/(1000 - AN38)</f>
        <v>0</v>
      </c>
      <c r="AM38">
        <v>13.49116725116499</v>
      </c>
      <c r="AN38">
        <v>14.98496606060605</v>
      </c>
      <c r="AO38">
        <v>0.000178076239428757</v>
      </c>
      <c r="AP38">
        <v>79.16487552944861</v>
      </c>
      <c r="AQ38">
        <v>0</v>
      </c>
      <c r="AR38">
        <v>0</v>
      </c>
      <c r="AS38">
        <f>IF(AQ38*$H$13&gt;=AU38,1.0,(AU38/(AU38-AQ38*$H$13)))</f>
        <v>0</v>
      </c>
      <c r="AT38">
        <f>(AS38-1)*100</f>
        <v>0</v>
      </c>
      <c r="AU38">
        <f>MAX(0,($B$13+$C$13*BT38)/(1+$D$13*BT38)*BM38/(BO38+273)*$E$13)</f>
        <v>0</v>
      </c>
      <c r="AV38">
        <f>$B$11*BU38+$C$11*BV38+$F$11*CG38*(1-CJ38)</f>
        <v>0</v>
      </c>
      <c r="AW38">
        <f>AV38*AX38</f>
        <v>0</v>
      </c>
      <c r="AX38">
        <f>($B$11*$D$9+$C$11*$D$9+$F$11*((CT38+CL38)/MAX(CT38+CL38+CU38, 0.1)*$I$9+CU38/MAX(CT38+CL38+CU38, 0.1)*$J$9))/($B$11+$C$11+$F$11)</f>
        <v>0</v>
      </c>
      <c r="AY38">
        <f>($B$11*$K$9+$C$11*$K$9+$F$11*((CT38+CL38)/MAX(CT38+CL38+CU38, 0.1)*$P$9+CU38/MAX(CT38+CL38+CU38, 0.1)*$Q$9))/($B$11+$C$11+$F$11)</f>
        <v>0</v>
      </c>
      <c r="AZ38">
        <v>6</v>
      </c>
      <c r="BA38">
        <v>0.5</v>
      </c>
      <c r="BB38" t="s">
        <v>353</v>
      </c>
      <c r="BC38">
        <v>2</v>
      </c>
      <c r="BD38" t="b">
        <v>0</v>
      </c>
      <c r="BE38">
        <v>1750699450.349999</v>
      </c>
      <c r="BF38">
        <v>396.4914333333333</v>
      </c>
      <c r="BG38">
        <v>405.0053333333334</v>
      </c>
      <c r="BH38">
        <v>14.92472</v>
      </c>
      <c r="BI38">
        <v>13.48961666666667</v>
      </c>
      <c r="BJ38">
        <v>394.3694333333333</v>
      </c>
      <c r="BK38">
        <v>14.86972</v>
      </c>
      <c r="BL38">
        <v>799.9825666666667</v>
      </c>
      <c r="BM38">
        <v>101.4409</v>
      </c>
      <c r="BN38">
        <v>0.09993707</v>
      </c>
      <c r="BO38">
        <v>22.74352333333333</v>
      </c>
      <c r="BP38">
        <v>22.39513999999999</v>
      </c>
      <c r="BQ38">
        <v>999.9000000000002</v>
      </c>
      <c r="BR38">
        <v>0</v>
      </c>
      <c r="BS38">
        <v>0</v>
      </c>
      <c r="BT38">
        <v>9999.245333333332</v>
      </c>
      <c r="BU38">
        <v>0</v>
      </c>
      <c r="BV38">
        <v>0.00152894</v>
      </c>
      <c r="BW38">
        <v>-8.427735666666667</v>
      </c>
      <c r="BX38">
        <v>402.6067333333333</v>
      </c>
      <c r="BY38">
        <v>410.5433666666667</v>
      </c>
      <c r="BZ38">
        <v>1.485765</v>
      </c>
      <c r="CA38">
        <v>405.0053333333334</v>
      </c>
      <c r="CB38">
        <v>13.48961666666667</v>
      </c>
      <c r="CC38">
        <v>1.519113666666666</v>
      </c>
      <c r="CD38">
        <v>1.368397</v>
      </c>
      <c r="CE38">
        <v>13.16191333333333</v>
      </c>
      <c r="CF38">
        <v>11.57187666666666</v>
      </c>
      <c r="CG38">
        <v>999.9974999999999</v>
      </c>
      <c r="CH38">
        <v>0.9600116000000001</v>
      </c>
      <c r="CI38">
        <v>0.03998839666666667</v>
      </c>
      <c r="CJ38">
        <v>0</v>
      </c>
      <c r="CK38">
        <v>-1.496166666666667</v>
      </c>
      <c r="CL38">
        <v>0</v>
      </c>
      <c r="CM38">
        <v>8737.146999999999</v>
      </c>
      <c r="CN38">
        <v>7946.931</v>
      </c>
      <c r="CO38">
        <v>36.8164</v>
      </c>
      <c r="CP38">
        <v>39.47473333333332</v>
      </c>
      <c r="CQ38">
        <v>38.2206</v>
      </c>
      <c r="CR38">
        <v>38.43313333333332</v>
      </c>
      <c r="CS38">
        <v>36.77893333333332</v>
      </c>
      <c r="CT38">
        <v>960.0086666666666</v>
      </c>
      <c r="CU38">
        <v>39.98866666666667</v>
      </c>
      <c r="CV38">
        <v>0</v>
      </c>
      <c r="CW38">
        <v>1750699475</v>
      </c>
      <c r="CX38">
        <v>0</v>
      </c>
      <c r="CY38">
        <v>1750699483.6</v>
      </c>
      <c r="CZ38" t="s">
        <v>422</v>
      </c>
      <c r="DA38">
        <v>1750699480.6</v>
      </c>
      <c r="DB38">
        <v>1750699483.6</v>
      </c>
      <c r="DC38">
        <v>21</v>
      </c>
      <c r="DD38">
        <v>-0.082</v>
      </c>
      <c r="DE38">
        <v>-0.008</v>
      </c>
      <c r="DF38">
        <v>2.122</v>
      </c>
      <c r="DG38">
        <v>0.055</v>
      </c>
      <c r="DH38">
        <v>405</v>
      </c>
      <c r="DI38">
        <v>13</v>
      </c>
      <c r="DJ38">
        <v>0.24</v>
      </c>
      <c r="DK38">
        <v>0.06</v>
      </c>
      <c r="DL38">
        <v>-8.422998000000002</v>
      </c>
      <c r="DM38">
        <v>0.05964607879925182</v>
      </c>
      <c r="DN38">
        <v>0.03006351203701917</v>
      </c>
      <c r="DO38">
        <v>1</v>
      </c>
      <c r="DP38">
        <v>1.47932525</v>
      </c>
      <c r="DQ38">
        <v>0.1099781988742918</v>
      </c>
      <c r="DR38">
        <v>0.01139060314195433</v>
      </c>
      <c r="DS38">
        <v>0</v>
      </c>
      <c r="DT38">
        <v>1</v>
      </c>
      <c r="DU38">
        <v>2</v>
      </c>
      <c r="DV38" t="s">
        <v>355</v>
      </c>
      <c r="DW38">
        <v>3.44752</v>
      </c>
      <c r="DX38">
        <v>2.78042</v>
      </c>
      <c r="DY38">
        <v>0.09674530000000001</v>
      </c>
      <c r="DZ38">
        <v>0.09866510000000001</v>
      </c>
      <c r="EA38">
        <v>0.0859114</v>
      </c>
      <c r="EB38">
        <v>0.0793079</v>
      </c>
      <c r="EC38">
        <v>27373.7</v>
      </c>
      <c r="ED38">
        <v>31076.5</v>
      </c>
      <c r="EE38">
        <v>29425.2</v>
      </c>
      <c r="EF38">
        <v>35053.2</v>
      </c>
      <c r="EG38">
        <v>31106.2</v>
      </c>
      <c r="EH38">
        <v>40084.2</v>
      </c>
      <c r="EI38">
        <v>36225.9</v>
      </c>
      <c r="EJ38">
        <v>46427</v>
      </c>
      <c r="EK38">
        <v>2.56885</v>
      </c>
      <c r="EL38">
        <v>2.31</v>
      </c>
      <c r="EM38">
        <v>0.107866</v>
      </c>
      <c r="EN38">
        <v>0</v>
      </c>
      <c r="EO38">
        <v>20.6345</v>
      </c>
      <c r="EP38">
        <v>999.9</v>
      </c>
      <c r="EQ38">
        <v>61.9</v>
      </c>
      <c r="ER38">
        <v>24.3</v>
      </c>
      <c r="ES38">
        <v>18.6069</v>
      </c>
      <c r="ET38">
        <v>61.7173</v>
      </c>
      <c r="EU38">
        <v>26.5705</v>
      </c>
      <c r="EV38">
        <v>2</v>
      </c>
      <c r="EW38">
        <v>-0.51768</v>
      </c>
      <c r="EX38">
        <v>0</v>
      </c>
      <c r="EY38">
        <v>20.2946</v>
      </c>
      <c r="EZ38">
        <v>5.21504</v>
      </c>
      <c r="FA38">
        <v>11.968</v>
      </c>
      <c r="FB38">
        <v>4.99155</v>
      </c>
      <c r="FC38">
        <v>3.27195</v>
      </c>
      <c r="FD38">
        <v>2768.5</v>
      </c>
      <c r="FE38">
        <v>9999</v>
      </c>
      <c r="FF38">
        <v>9999</v>
      </c>
      <c r="FG38">
        <v>999.9</v>
      </c>
      <c r="FH38">
        <v>4.9726</v>
      </c>
      <c r="FI38">
        <v>1.86249</v>
      </c>
      <c r="FJ38">
        <v>1.86418</v>
      </c>
      <c r="FK38">
        <v>1.86264</v>
      </c>
      <c r="FL38">
        <v>1.86264</v>
      </c>
      <c r="FM38">
        <v>1.86325</v>
      </c>
      <c r="FN38">
        <v>1.85974</v>
      </c>
      <c r="FO38">
        <v>1.86261</v>
      </c>
      <c r="FP38">
        <v>0</v>
      </c>
      <c r="FQ38">
        <v>0</v>
      </c>
      <c r="FR38">
        <v>0</v>
      </c>
      <c r="FS38">
        <v>0</v>
      </c>
      <c r="FT38" t="s">
        <v>356</v>
      </c>
      <c r="FU38" t="s">
        <v>357</v>
      </c>
      <c r="FV38" t="s">
        <v>358</v>
      </c>
      <c r="FW38" t="s">
        <v>358</v>
      </c>
      <c r="FX38" t="s">
        <v>358</v>
      </c>
      <c r="FY38" t="s">
        <v>358</v>
      </c>
      <c r="FZ38">
        <v>0</v>
      </c>
      <c r="GA38">
        <v>100</v>
      </c>
      <c r="GB38">
        <v>100</v>
      </c>
      <c r="GC38">
        <v>2.122</v>
      </c>
      <c r="GD38">
        <v>0.055</v>
      </c>
      <c r="GE38">
        <v>2.48775457357514</v>
      </c>
      <c r="GF38">
        <v>-0.001033730503750798</v>
      </c>
      <c r="GG38">
        <v>9.120241388950126E-07</v>
      </c>
      <c r="GH38">
        <v>-2.246115299815222E-10</v>
      </c>
      <c r="GI38">
        <v>-0.02427283054383587</v>
      </c>
      <c r="GJ38">
        <v>-0.01814858093373864</v>
      </c>
      <c r="GK38">
        <v>0.002091959988359369</v>
      </c>
      <c r="GL38">
        <v>-1.90871700788604E-05</v>
      </c>
      <c r="GM38">
        <v>2</v>
      </c>
      <c r="GN38">
        <v>2210</v>
      </c>
      <c r="GO38">
        <v>1</v>
      </c>
      <c r="GP38">
        <v>26</v>
      </c>
      <c r="GQ38">
        <v>2.3</v>
      </c>
      <c r="GR38">
        <v>11.2</v>
      </c>
      <c r="GS38">
        <v>1.26343</v>
      </c>
      <c r="GT38">
        <v>2.37793</v>
      </c>
      <c r="GU38">
        <v>2.34741</v>
      </c>
      <c r="GV38">
        <v>2.75513</v>
      </c>
      <c r="GW38">
        <v>2.39868</v>
      </c>
      <c r="GX38">
        <v>2.2876</v>
      </c>
      <c r="GY38">
        <v>28.9224</v>
      </c>
      <c r="GZ38">
        <v>13.8081</v>
      </c>
      <c r="HA38">
        <v>18</v>
      </c>
      <c r="HB38">
        <v>805.807</v>
      </c>
      <c r="HC38">
        <v>662.043</v>
      </c>
      <c r="HD38">
        <v>21.8341</v>
      </c>
      <c r="HE38">
        <v>20.5656</v>
      </c>
      <c r="HF38">
        <v>29.9999</v>
      </c>
      <c r="HG38">
        <v>20.4021</v>
      </c>
      <c r="HH38">
        <v>20.3488</v>
      </c>
      <c r="HI38">
        <v>25.3362</v>
      </c>
      <c r="HJ38">
        <v>30.4472</v>
      </c>
      <c r="HK38">
        <v>35.0045</v>
      </c>
      <c r="HL38">
        <v>-999.9</v>
      </c>
      <c r="HM38">
        <v>405</v>
      </c>
      <c r="HN38">
        <v>13.5078</v>
      </c>
      <c r="HO38">
        <v>101.035</v>
      </c>
      <c r="HP38">
        <v>101.348</v>
      </c>
    </row>
    <row r="39" spans="1:224">
      <c r="A39">
        <v>23</v>
      </c>
      <c r="B39">
        <v>1750699611.6</v>
      </c>
      <c r="C39">
        <v>4748.5</v>
      </c>
      <c r="D39" t="s">
        <v>423</v>
      </c>
      <c r="E39" t="s">
        <v>424</v>
      </c>
      <c r="F39">
        <v>15</v>
      </c>
      <c r="G39">
        <v>1750699603.599999</v>
      </c>
      <c r="H39">
        <f>(I39)/1000</f>
        <v>0</v>
      </c>
      <c r="I39">
        <f>IF(BD39, AL39, AF39)</f>
        <v>0</v>
      </c>
      <c r="J39">
        <f>IF(BD39, AG39, AE39)</f>
        <v>0</v>
      </c>
      <c r="K39">
        <f>BF39 - IF(AS39&gt;1, J39*AZ39*100.0/(AU39), 0)</f>
        <v>0</v>
      </c>
      <c r="L39">
        <f>((R39-H39/2)*K39-J39)/(R39+H39/2)</f>
        <v>0</v>
      </c>
      <c r="M39">
        <f>L39*(BM39+BN39)/1000.0</f>
        <v>0</v>
      </c>
      <c r="N39">
        <f>(BF39 - IF(AS39&gt;1, J39*AZ39*100.0/(AU39), 0))*(BM39+BN39)/1000.0</f>
        <v>0</v>
      </c>
      <c r="O39">
        <f>2.0/((1/Q39-1/P39)+SIGN(Q39)*SQRT((1/Q39-1/P39)*(1/Q39-1/P39) + 4*BA39/((BA39+1)*(BA39+1))*(2*1/Q39*1/P39-1/P39*1/P39)))</f>
        <v>0</v>
      </c>
      <c r="P39">
        <f>IF(LEFT(BB39,1)&lt;&gt;"0",IF(LEFT(BB39,1)="1",3.0,BC39),$D$5+$E$5*(BT39*BM39/($K$5*1000))+$F$5*(BT39*BM39/($K$5*1000))*MAX(MIN(AZ39,$J$5),$I$5)*MAX(MIN(AZ39,$J$5),$I$5)+$G$5*MAX(MIN(AZ39,$J$5),$I$5)*(BT39*BM39/($K$5*1000))+$H$5*(BT39*BM39/($K$5*1000))*(BT39*BM39/($K$5*1000)))</f>
        <v>0</v>
      </c>
      <c r="Q39">
        <f>H39*(1000-(1000*0.61365*exp(17.502*U39/(240.97+U39))/(BM39+BN39)+BH39)/2)/(1000*0.61365*exp(17.502*U39/(240.97+U39))/(BM39+BN39)-BH39)</f>
        <v>0</v>
      </c>
      <c r="R39">
        <f>1/((BA39+1)/(O39/1.6)+1/(P39/1.37)) + BA39/((BA39+1)/(O39/1.6) + BA39/(P39/1.37))</f>
        <v>0</v>
      </c>
      <c r="S39">
        <f>(AV39*AY39)</f>
        <v>0</v>
      </c>
      <c r="T39">
        <f>(BO39+(S39+2*0.95*5.67E-8*(((BO39+$B$7)+273)^4-(BO39+273)^4)-44100*H39)/(1.84*29.3*P39+8*0.95*5.67E-8*(BO39+273)^3))</f>
        <v>0</v>
      </c>
      <c r="U39">
        <f>($C$7*BP39+$D$7*BQ39+$E$7*T39)</f>
        <v>0</v>
      </c>
      <c r="V39">
        <f>0.61365*exp(17.502*U39/(240.97+U39))</f>
        <v>0</v>
      </c>
      <c r="W39">
        <f>(X39/Y39*100)</f>
        <v>0</v>
      </c>
      <c r="X39">
        <f>BH39*(BM39+BN39)/1000</f>
        <v>0</v>
      </c>
      <c r="Y39">
        <f>0.61365*exp(17.502*BO39/(240.97+BO39))</f>
        <v>0</v>
      </c>
      <c r="Z39">
        <f>(V39-BH39*(BM39+BN39)/1000)</f>
        <v>0</v>
      </c>
      <c r="AA39">
        <f>(-H39*44100)</f>
        <v>0</v>
      </c>
      <c r="AB39">
        <f>2*29.3*P39*0.92*(BO39-U39)</f>
        <v>0</v>
      </c>
      <c r="AC39">
        <f>2*0.95*5.67E-8*(((BO39+$B$7)+273)^4-(U39+273)^4)</f>
        <v>0</v>
      </c>
      <c r="AD39">
        <f>S39+AC39+AA39+AB39</f>
        <v>0</v>
      </c>
      <c r="AE39">
        <f>BL39*AS39*(BG39-BF39*(1000-AS39*BI39)/(1000-AS39*BH39))/(100*AZ39)</f>
        <v>0</v>
      </c>
      <c r="AF39">
        <f>1000*BL39*AS39*(BH39-BI39)/(100*AZ39*(1000-AS39*BH39))</f>
        <v>0</v>
      </c>
      <c r="AG39">
        <f>(AH39 - AI39 - BM39*1E3/(8.314*(BO39+273.15)) * AK39/BL39 * AJ39) * BL39/(100*AZ39) * (1000 - BI39)/1000</f>
        <v>0</v>
      </c>
      <c r="AH39">
        <v>409.8831980317421</v>
      </c>
      <c r="AI39">
        <v>404.0384424242422</v>
      </c>
      <c r="AJ39">
        <v>0.001784917952013185</v>
      </c>
      <c r="AK39">
        <v>66.95928582138913</v>
      </c>
      <c r="AL39">
        <f>(AN39 - AM39 + BM39*1E3/(8.314*(BO39+273.15)) * AP39/BL39 * AO39) * BL39/(100*AZ39) * 1000/(1000 - AN39)</f>
        <v>0</v>
      </c>
      <c r="AM39">
        <v>11.9465342698233</v>
      </c>
      <c r="AN39">
        <v>14.78272181818182</v>
      </c>
      <c r="AO39">
        <v>0.009474277125654495</v>
      </c>
      <c r="AP39">
        <v>79.19872289472342</v>
      </c>
      <c r="AQ39">
        <v>73</v>
      </c>
      <c r="AR39">
        <v>9</v>
      </c>
      <c r="AS39">
        <f>IF(AQ39*$H$13&gt;=AU39,1.0,(AU39/(AU39-AQ39*$H$13)))</f>
        <v>0</v>
      </c>
      <c r="AT39">
        <f>(AS39-1)*100</f>
        <v>0</v>
      </c>
      <c r="AU39">
        <f>MAX(0,($B$13+$C$13*BT39)/(1+$D$13*BT39)*BM39/(BO39+273)*$E$13)</f>
        <v>0</v>
      </c>
      <c r="AV39">
        <f>$B$11*BU39+$C$11*BV39+$F$11*CG39*(1-CJ39)</f>
        <v>0</v>
      </c>
      <c r="AW39">
        <f>AV39*AX39</f>
        <v>0</v>
      </c>
      <c r="AX39">
        <f>($B$11*$D$9+$C$11*$D$9+$F$11*((CT39+CL39)/MAX(CT39+CL39+CU39, 0.1)*$I$9+CU39/MAX(CT39+CL39+CU39, 0.1)*$J$9))/($B$11+$C$11+$F$11)</f>
        <v>0</v>
      </c>
      <c r="AY39">
        <f>($B$11*$K$9+$C$11*$K$9+$F$11*((CT39+CL39)/MAX(CT39+CL39+CU39, 0.1)*$P$9+CU39/MAX(CT39+CL39+CU39, 0.1)*$Q$9))/($B$11+$C$11+$F$11)</f>
        <v>0</v>
      </c>
      <c r="AZ39">
        <v>6</v>
      </c>
      <c r="BA39">
        <v>0.5</v>
      </c>
      <c r="BB39" t="s">
        <v>353</v>
      </c>
      <c r="BC39">
        <v>2</v>
      </c>
      <c r="BD39" t="b">
        <v>0</v>
      </c>
      <c r="BE39">
        <v>1750699603.599999</v>
      </c>
      <c r="BF39">
        <v>398.1529354838709</v>
      </c>
      <c r="BG39">
        <v>404.9796451612904</v>
      </c>
      <c r="BH39">
        <v>14.74239032258065</v>
      </c>
      <c r="BI39">
        <v>11.86301290322581</v>
      </c>
      <c r="BJ39">
        <v>395.9499354838709</v>
      </c>
      <c r="BK39">
        <v>14.65151290322581</v>
      </c>
      <c r="BL39">
        <v>799.9983870967742</v>
      </c>
      <c r="BM39">
        <v>101.4421935483871</v>
      </c>
      <c r="BN39">
        <v>0.1000115870967742</v>
      </c>
      <c r="BO39">
        <v>22.58848387096775</v>
      </c>
      <c r="BP39">
        <v>22.33966129032258</v>
      </c>
      <c r="BQ39">
        <v>999.9000000000003</v>
      </c>
      <c r="BR39">
        <v>0</v>
      </c>
      <c r="BS39">
        <v>0</v>
      </c>
      <c r="BT39">
        <v>10001.73161290323</v>
      </c>
      <c r="BU39">
        <v>0</v>
      </c>
      <c r="BV39">
        <v>0.00152894</v>
      </c>
      <c r="BW39">
        <v>-6.904500322580645</v>
      </c>
      <c r="BX39">
        <v>404.0316129032258</v>
      </c>
      <c r="BY39">
        <v>409.8416774193549</v>
      </c>
      <c r="BZ39">
        <v>2.879371612903226</v>
      </c>
      <c r="CA39">
        <v>404.9796451612904</v>
      </c>
      <c r="CB39">
        <v>11.86301290322581</v>
      </c>
      <c r="CC39">
        <v>1.495499677419355</v>
      </c>
      <c r="CD39">
        <v>1.20341</v>
      </c>
      <c r="CE39">
        <v>12.92221935483871</v>
      </c>
      <c r="CF39">
        <v>9.643624516129032</v>
      </c>
      <c r="CG39">
        <v>999.9841612903225</v>
      </c>
      <c r="CH39">
        <v>0.959990612903226</v>
      </c>
      <c r="CI39">
        <v>0.04000936129032258</v>
      </c>
      <c r="CJ39">
        <v>0</v>
      </c>
      <c r="CK39">
        <v>0.8967741935483871</v>
      </c>
      <c r="CL39">
        <v>0</v>
      </c>
      <c r="CM39">
        <v>10091.74322580645</v>
      </c>
      <c r="CN39">
        <v>7946.75129032258</v>
      </c>
      <c r="CO39">
        <v>37.96748387096774</v>
      </c>
      <c r="CP39">
        <v>40.6188064516129</v>
      </c>
      <c r="CQ39">
        <v>39.27599999999999</v>
      </c>
      <c r="CR39">
        <v>40.31029032258064</v>
      </c>
      <c r="CS39">
        <v>37.83029032258064</v>
      </c>
      <c r="CT39">
        <v>959.9758064516128</v>
      </c>
      <c r="CU39">
        <v>40.01</v>
      </c>
      <c r="CV39">
        <v>0</v>
      </c>
      <c r="CW39">
        <v>1750699628.6</v>
      </c>
      <c r="CX39">
        <v>0</v>
      </c>
      <c r="CY39">
        <v>1750699628.6</v>
      </c>
      <c r="CZ39" t="s">
        <v>425</v>
      </c>
      <c r="DA39">
        <v>1750699628.6</v>
      </c>
      <c r="DB39">
        <v>1750699483.6</v>
      </c>
      <c r="DC39">
        <v>22</v>
      </c>
      <c r="DD39">
        <v>0.08</v>
      </c>
      <c r="DE39">
        <v>-0.008</v>
      </c>
      <c r="DF39">
        <v>2.203</v>
      </c>
      <c r="DG39">
        <v>0.055</v>
      </c>
      <c r="DH39">
        <v>405</v>
      </c>
      <c r="DI39">
        <v>13</v>
      </c>
      <c r="DJ39">
        <v>0.26</v>
      </c>
      <c r="DK39">
        <v>0.06</v>
      </c>
      <c r="DL39">
        <v>-6.906438249999999</v>
      </c>
      <c r="DM39">
        <v>-0.02775230769231724</v>
      </c>
      <c r="DN39">
        <v>0.02477226805194671</v>
      </c>
      <c r="DO39">
        <v>1</v>
      </c>
      <c r="DP39">
        <v>2.9036225</v>
      </c>
      <c r="DQ39">
        <v>-0.5274457035647332</v>
      </c>
      <c r="DR39">
        <v>0.05243883922008573</v>
      </c>
      <c r="DS39">
        <v>0</v>
      </c>
      <c r="DT39">
        <v>1</v>
      </c>
      <c r="DU39">
        <v>2</v>
      </c>
      <c r="DV39" t="s">
        <v>355</v>
      </c>
      <c r="DW39">
        <v>3.4468</v>
      </c>
      <c r="DX39">
        <v>2.78134</v>
      </c>
      <c r="DY39">
        <v>0.09705560000000001</v>
      </c>
      <c r="DZ39">
        <v>0.09865699999999999</v>
      </c>
      <c r="EA39">
        <v>0.08512459999999999</v>
      </c>
      <c r="EB39">
        <v>0.07254240000000001</v>
      </c>
      <c r="EC39">
        <v>27368</v>
      </c>
      <c r="ED39">
        <v>31081</v>
      </c>
      <c r="EE39">
        <v>29428.9</v>
      </c>
      <c r="EF39">
        <v>35057.6</v>
      </c>
      <c r="EG39">
        <v>31138</v>
      </c>
      <c r="EH39">
        <v>40386</v>
      </c>
      <c r="EI39">
        <v>36231.4</v>
      </c>
      <c r="EJ39">
        <v>46434.2</v>
      </c>
      <c r="EK39">
        <v>2.4575</v>
      </c>
      <c r="EL39">
        <v>2.30702</v>
      </c>
      <c r="EM39">
        <v>0.117779</v>
      </c>
      <c r="EN39">
        <v>0</v>
      </c>
      <c r="EO39">
        <v>20.4399</v>
      </c>
      <c r="EP39">
        <v>999.9</v>
      </c>
      <c r="EQ39">
        <v>61.3</v>
      </c>
      <c r="ER39">
        <v>24.4</v>
      </c>
      <c r="ES39">
        <v>18.5371</v>
      </c>
      <c r="ET39">
        <v>61.7173</v>
      </c>
      <c r="EU39">
        <v>26.6506</v>
      </c>
      <c r="EV39">
        <v>2</v>
      </c>
      <c r="EW39">
        <v>-0.523643</v>
      </c>
      <c r="EX39">
        <v>0</v>
      </c>
      <c r="EY39">
        <v>20.2942</v>
      </c>
      <c r="EZ39">
        <v>5.21639</v>
      </c>
      <c r="FA39">
        <v>11.968</v>
      </c>
      <c r="FB39">
        <v>4.9918</v>
      </c>
      <c r="FC39">
        <v>3.272</v>
      </c>
      <c r="FD39">
        <v>2773.3</v>
      </c>
      <c r="FE39">
        <v>9999</v>
      </c>
      <c r="FF39">
        <v>9999</v>
      </c>
      <c r="FG39">
        <v>999.9</v>
      </c>
      <c r="FH39">
        <v>4.97261</v>
      </c>
      <c r="FI39">
        <v>1.86249</v>
      </c>
      <c r="FJ39">
        <v>1.8642</v>
      </c>
      <c r="FK39">
        <v>1.86264</v>
      </c>
      <c r="FL39">
        <v>1.86265</v>
      </c>
      <c r="FM39">
        <v>1.86325</v>
      </c>
      <c r="FN39">
        <v>1.85974</v>
      </c>
      <c r="FO39">
        <v>1.86261</v>
      </c>
      <c r="FP39">
        <v>0</v>
      </c>
      <c r="FQ39">
        <v>0</v>
      </c>
      <c r="FR39">
        <v>0</v>
      </c>
      <c r="FS39">
        <v>0</v>
      </c>
      <c r="FT39" t="s">
        <v>356</v>
      </c>
      <c r="FU39" t="s">
        <v>357</v>
      </c>
      <c r="FV39" t="s">
        <v>358</v>
      </c>
      <c r="FW39" t="s">
        <v>358</v>
      </c>
      <c r="FX39" t="s">
        <v>358</v>
      </c>
      <c r="FY39" t="s">
        <v>358</v>
      </c>
      <c r="FZ39">
        <v>0</v>
      </c>
      <c r="GA39">
        <v>100</v>
      </c>
      <c r="GB39">
        <v>100</v>
      </c>
      <c r="GC39">
        <v>2.203</v>
      </c>
      <c r="GD39">
        <v>0.0922</v>
      </c>
      <c r="GE39">
        <v>2.405627452621964</v>
      </c>
      <c r="GF39">
        <v>-0.001033730503750798</v>
      </c>
      <c r="GG39">
        <v>9.120241388950126E-07</v>
      </c>
      <c r="GH39">
        <v>-2.246115299815222E-10</v>
      </c>
      <c r="GI39">
        <v>-0.03227126969192029</v>
      </c>
      <c r="GJ39">
        <v>-0.01814858093373864</v>
      </c>
      <c r="GK39">
        <v>0.002091959988359369</v>
      </c>
      <c r="GL39">
        <v>-1.90871700788604E-05</v>
      </c>
      <c r="GM39">
        <v>2</v>
      </c>
      <c r="GN39">
        <v>2210</v>
      </c>
      <c r="GO39">
        <v>1</v>
      </c>
      <c r="GP39">
        <v>26</v>
      </c>
      <c r="GQ39">
        <v>2.2</v>
      </c>
      <c r="GR39">
        <v>2.1</v>
      </c>
      <c r="GS39">
        <v>1.26221</v>
      </c>
      <c r="GT39">
        <v>2.37305</v>
      </c>
      <c r="GU39">
        <v>2.34741</v>
      </c>
      <c r="GV39">
        <v>2.75391</v>
      </c>
      <c r="GW39">
        <v>2.39868</v>
      </c>
      <c r="GX39">
        <v>2.24976</v>
      </c>
      <c r="GY39">
        <v>28.9224</v>
      </c>
      <c r="GZ39">
        <v>13.773</v>
      </c>
      <c r="HA39">
        <v>18</v>
      </c>
      <c r="HB39">
        <v>715.081</v>
      </c>
      <c r="HC39">
        <v>659.046</v>
      </c>
      <c r="HD39">
        <v>21.7209</v>
      </c>
      <c r="HE39">
        <v>20.476</v>
      </c>
      <c r="HF39">
        <v>30.0001</v>
      </c>
      <c r="HG39">
        <v>20.3501</v>
      </c>
      <c r="HH39">
        <v>20.3041</v>
      </c>
      <c r="HI39">
        <v>25.3031</v>
      </c>
      <c r="HJ39">
        <v>36.5255</v>
      </c>
      <c r="HK39">
        <v>31.9881</v>
      </c>
      <c r="HL39">
        <v>-999.9</v>
      </c>
      <c r="HM39">
        <v>405</v>
      </c>
      <c r="HN39">
        <v>12.0534</v>
      </c>
      <c r="HO39">
        <v>101.049</v>
      </c>
      <c r="HP39">
        <v>101.363</v>
      </c>
    </row>
    <row r="40" spans="1:224">
      <c r="A40">
        <v>24</v>
      </c>
      <c r="B40">
        <v>1750699746.6</v>
      </c>
      <c r="C40">
        <v>4883.5</v>
      </c>
      <c r="D40" t="s">
        <v>426</v>
      </c>
      <c r="E40" t="s">
        <v>427</v>
      </c>
      <c r="F40">
        <v>15</v>
      </c>
      <c r="G40">
        <v>1750699738.599999</v>
      </c>
      <c r="H40">
        <f>(I40)/1000</f>
        <v>0</v>
      </c>
      <c r="I40">
        <f>IF(BD40, AL40, AF40)</f>
        <v>0</v>
      </c>
      <c r="J40">
        <f>IF(BD40, AG40, AE40)</f>
        <v>0</v>
      </c>
      <c r="K40">
        <f>BF40 - IF(AS40&gt;1, J40*AZ40*100.0/(AU40), 0)</f>
        <v>0</v>
      </c>
      <c r="L40">
        <f>((R40-H40/2)*K40-J40)/(R40+H40/2)</f>
        <v>0</v>
      </c>
      <c r="M40">
        <f>L40*(BM40+BN40)/1000.0</f>
        <v>0</v>
      </c>
      <c r="N40">
        <f>(BF40 - IF(AS40&gt;1, J40*AZ40*100.0/(AU40), 0))*(BM40+BN40)/1000.0</f>
        <v>0</v>
      </c>
      <c r="O40">
        <f>2.0/((1/Q40-1/P40)+SIGN(Q40)*SQRT((1/Q40-1/P40)*(1/Q40-1/P40) + 4*BA40/((BA40+1)*(BA40+1))*(2*1/Q40*1/P40-1/P40*1/P40)))</f>
        <v>0</v>
      </c>
      <c r="P40">
        <f>IF(LEFT(BB40,1)&lt;&gt;"0",IF(LEFT(BB40,1)="1",3.0,BC40),$D$5+$E$5*(BT40*BM40/($K$5*1000))+$F$5*(BT40*BM40/($K$5*1000))*MAX(MIN(AZ40,$J$5),$I$5)*MAX(MIN(AZ40,$J$5),$I$5)+$G$5*MAX(MIN(AZ40,$J$5),$I$5)*(BT40*BM40/($K$5*1000))+$H$5*(BT40*BM40/($K$5*1000))*(BT40*BM40/($K$5*1000)))</f>
        <v>0</v>
      </c>
      <c r="Q40">
        <f>H40*(1000-(1000*0.61365*exp(17.502*U40/(240.97+U40))/(BM40+BN40)+BH40)/2)/(1000*0.61365*exp(17.502*U40/(240.97+U40))/(BM40+BN40)-BH40)</f>
        <v>0</v>
      </c>
      <c r="R40">
        <f>1/((BA40+1)/(O40/1.6)+1/(P40/1.37)) + BA40/((BA40+1)/(O40/1.6) + BA40/(P40/1.37))</f>
        <v>0</v>
      </c>
      <c r="S40">
        <f>(AV40*AY40)</f>
        <v>0</v>
      </c>
      <c r="T40">
        <f>(BO40+(S40+2*0.95*5.67E-8*(((BO40+$B$7)+273)^4-(BO40+273)^4)-44100*H40)/(1.84*29.3*P40+8*0.95*5.67E-8*(BO40+273)^3))</f>
        <v>0</v>
      </c>
      <c r="U40">
        <f>($C$7*BP40+$D$7*BQ40+$E$7*T40)</f>
        <v>0</v>
      </c>
      <c r="V40">
        <f>0.61365*exp(17.502*U40/(240.97+U40))</f>
        <v>0</v>
      </c>
      <c r="W40">
        <f>(X40/Y40*100)</f>
        <v>0</v>
      </c>
      <c r="X40">
        <f>BH40*(BM40+BN40)/1000</f>
        <v>0</v>
      </c>
      <c r="Y40">
        <f>0.61365*exp(17.502*BO40/(240.97+BO40))</f>
        <v>0</v>
      </c>
      <c r="Z40">
        <f>(V40-BH40*(BM40+BN40)/1000)</f>
        <v>0</v>
      </c>
      <c r="AA40">
        <f>(-H40*44100)</f>
        <v>0</v>
      </c>
      <c r="AB40">
        <f>2*29.3*P40*0.92*(BO40-U40)</f>
        <v>0</v>
      </c>
      <c r="AC40">
        <f>2*0.95*5.67E-8*(((BO40+$B$7)+273)^4-(U40+273)^4)</f>
        <v>0</v>
      </c>
      <c r="AD40">
        <f>S40+AC40+AA40+AB40</f>
        <v>0</v>
      </c>
      <c r="AE40">
        <f>BL40*AS40*(BG40-BF40*(1000-AS40*BI40)/(1000-AS40*BH40))/(100*AZ40)</f>
        <v>0</v>
      </c>
      <c r="AF40">
        <f>1000*BL40*AS40*(BH40-BI40)/(100*AZ40*(1000-AS40*BH40))</f>
        <v>0</v>
      </c>
      <c r="AG40">
        <f>(AH40 - AI40 - BM40*1E3/(8.314*(BO40+273.15)) * AK40/BL40 * AJ40) * BL40/(100*AZ40) * (1000 - BI40)/1000</f>
        <v>0</v>
      </c>
      <c r="AH40">
        <v>410.6832524957944</v>
      </c>
      <c r="AI40">
        <v>407.6970363636361</v>
      </c>
      <c r="AJ40">
        <v>-0.003365634261956201</v>
      </c>
      <c r="AK40">
        <v>66.95789239675615</v>
      </c>
      <c r="AL40">
        <f>(AN40 - AM40 + BM40*1E3/(8.314*(BO40+273.15)) * AP40/BL40 * AO40) * BL40/(100*AZ40) * 1000/(1000 - AN40)</f>
        <v>0</v>
      </c>
      <c r="AM40">
        <v>13.87349472982392</v>
      </c>
      <c r="AN40">
        <v>15.01612</v>
      </c>
      <c r="AO40">
        <v>0.008478131496707153</v>
      </c>
      <c r="AP40">
        <v>79.2159199564139</v>
      </c>
      <c r="AQ40">
        <v>94</v>
      </c>
      <c r="AR40">
        <v>12</v>
      </c>
      <c r="AS40">
        <f>IF(AQ40*$H$13&gt;=AU40,1.0,(AU40/(AU40-AQ40*$H$13)))</f>
        <v>0</v>
      </c>
      <c r="AT40">
        <f>(AS40-1)*100</f>
        <v>0</v>
      </c>
      <c r="AU40">
        <f>MAX(0,($B$13+$C$13*BT40)/(1+$D$13*BT40)*BM40/(BO40+273)*$E$13)</f>
        <v>0</v>
      </c>
      <c r="AV40">
        <f>$B$11*BU40+$C$11*BV40+$F$11*CG40*(1-CJ40)</f>
        <v>0</v>
      </c>
      <c r="AW40">
        <f>AV40*AX40</f>
        <v>0</v>
      </c>
      <c r="AX40">
        <f>($B$11*$D$9+$C$11*$D$9+$F$11*((CT40+CL40)/MAX(CT40+CL40+CU40, 0.1)*$I$9+CU40/MAX(CT40+CL40+CU40, 0.1)*$J$9))/($B$11+$C$11+$F$11)</f>
        <v>0</v>
      </c>
      <c r="AY40">
        <f>($B$11*$K$9+$C$11*$K$9+$F$11*((CT40+CL40)/MAX(CT40+CL40+CU40, 0.1)*$P$9+CU40/MAX(CT40+CL40+CU40, 0.1)*$Q$9))/($B$11+$C$11+$F$11)</f>
        <v>0</v>
      </c>
      <c r="AZ40">
        <v>6</v>
      </c>
      <c r="BA40">
        <v>0.5</v>
      </c>
      <c r="BB40" t="s">
        <v>353</v>
      </c>
      <c r="BC40">
        <v>2</v>
      </c>
      <c r="BD40" t="b">
        <v>0</v>
      </c>
      <c r="BE40">
        <v>1750699738.599999</v>
      </c>
      <c r="BF40">
        <v>401.4884193548388</v>
      </c>
      <c r="BG40">
        <v>404.9627096774194</v>
      </c>
      <c r="BH40">
        <v>14.95028064516129</v>
      </c>
      <c r="BI40">
        <v>13.82756451612903</v>
      </c>
      <c r="BJ40">
        <v>399.3844193548388</v>
      </c>
      <c r="BK40">
        <v>14.85313870967742</v>
      </c>
      <c r="BL40">
        <v>800.0099032258066</v>
      </c>
      <c r="BM40">
        <v>101.4409032258064</v>
      </c>
      <c r="BN40">
        <v>0.1000895516129032</v>
      </c>
      <c r="BO40">
        <v>22.793</v>
      </c>
      <c r="BP40">
        <v>21.83961290322581</v>
      </c>
      <c r="BQ40">
        <v>999.9000000000003</v>
      </c>
      <c r="BR40">
        <v>0</v>
      </c>
      <c r="BS40">
        <v>0</v>
      </c>
      <c r="BT40">
        <v>10002.64096774194</v>
      </c>
      <c r="BU40">
        <v>0</v>
      </c>
      <c r="BV40">
        <v>0.00152894</v>
      </c>
      <c r="BW40">
        <v>-3.374162580645161</v>
      </c>
      <c r="BX40">
        <v>407.6835483870968</v>
      </c>
      <c r="BY40">
        <v>410.6409677419355</v>
      </c>
      <c r="BZ40">
        <v>1.122715806451613</v>
      </c>
      <c r="CA40">
        <v>404.9627096774194</v>
      </c>
      <c r="CB40">
        <v>13.82756451612903</v>
      </c>
      <c r="CC40">
        <v>1.51657</v>
      </c>
      <c r="CD40">
        <v>1.402681290322581</v>
      </c>
      <c r="CE40">
        <v>13.13620322580645</v>
      </c>
      <c r="CF40">
        <v>11.94659032258064</v>
      </c>
      <c r="CG40">
        <v>1000.000129032258</v>
      </c>
      <c r="CH40">
        <v>0.9600175806451617</v>
      </c>
      <c r="CI40">
        <v>0.0399820193548387</v>
      </c>
      <c r="CJ40">
        <v>0</v>
      </c>
      <c r="CK40">
        <v>2.876774193548387</v>
      </c>
      <c r="CL40">
        <v>0</v>
      </c>
      <c r="CM40">
        <v>4565.956451612903</v>
      </c>
      <c r="CN40">
        <v>7946.972580645162</v>
      </c>
      <c r="CO40">
        <v>38.8506129032258</v>
      </c>
      <c r="CP40">
        <v>41.39699999999998</v>
      </c>
      <c r="CQ40">
        <v>40.11067741935482</v>
      </c>
      <c r="CR40">
        <v>41.45941935483871</v>
      </c>
      <c r="CS40">
        <v>38.6650322580645</v>
      </c>
      <c r="CT40">
        <v>960.0200000000001</v>
      </c>
      <c r="CU40">
        <v>39.98032258064516</v>
      </c>
      <c r="CV40">
        <v>0</v>
      </c>
      <c r="CW40">
        <v>1750699763.6</v>
      </c>
      <c r="CX40">
        <v>0</v>
      </c>
      <c r="CY40">
        <v>1750699764.1</v>
      </c>
      <c r="CZ40" t="s">
        <v>428</v>
      </c>
      <c r="DA40">
        <v>1750699764.1</v>
      </c>
      <c r="DB40">
        <v>1750699483.6</v>
      </c>
      <c r="DC40">
        <v>23</v>
      </c>
      <c r="DD40">
        <v>-0.099</v>
      </c>
      <c r="DE40">
        <v>-0.008</v>
      </c>
      <c r="DF40">
        <v>2.104</v>
      </c>
      <c r="DG40">
        <v>0.055</v>
      </c>
      <c r="DH40">
        <v>405</v>
      </c>
      <c r="DI40">
        <v>13</v>
      </c>
      <c r="DJ40">
        <v>0.3</v>
      </c>
      <c r="DK40">
        <v>0.06</v>
      </c>
      <c r="DL40">
        <v>-3.36961775</v>
      </c>
      <c r="DM40">
        <v>0.06183005628517631</v>
      </c>
      <c r="DN40">
        <v>0.02852728478908393</v>
      </c>
      <c r="DO40">
        <v>1</v>
      </c>
      <c r="DP40">
        <v>1.11329725</v>
      </c>
      <c r="DQ40">
        <v>0.1130013883677291</v>
      </c>
      <c r="DR40">
        <v>0.01719499069314956</v>
      </c>
      <c r="DS40">
        <v>0</v>
      </c>
      <c r="DT40">
        <v>1</v>
      </c>
      <c r="DU40">
        <v>2</v>
      </c>
      <c r="DV40" t="s">
        <v>355</v>
      </c>
      <c r="DW40">
        <v>3.44764</v>
      </c>
      <c r="DX40">
        <v>2.78039</v>
      </c>
      <c r="DY40">
        <v>0.0976846</v>
      </c>
      <c r="DZ40">
        <v>0.0986597</v>
      </c>
      <c r="EA40">
        <v>0.0860803</v>
      </c>
      <c r="EB40">
        <v>0.08096</v>
      </c>
      <c r="EC40">
        <v>27342.8</v>
      </c>
      <c r="ED40">
        <v>31074.9</v>
      </c>
      <c r="EE40">
        <v>29422.5</v>
      </c>
      <c r="EF40">
        <v>35051.1</v>
      </c>
      <c r="EG40">
        <v>31097.9</v>
      </c>
      <c r="EH40">
        <v>40010.5</v>
      </c>
      <c r="EI40">
        <v>36223.2</v>
      </c>
      <c r="EJ40">
        <v>46425.3</v>
      </c>
      <c r="EK40">
        <v>2.42257</v>
      </c>
      <c r="EL40">
        <v>2.3085</v>
      </c>
      <c r="EM40">
        <v>0.0788942</v>
      </c>
      <c r="EN40">
        <v>0</v>
      </c>
      <c r="EO40">
        <v>20.6525</v>
      </c>
      <c r="EP40">
        <v>999.9</v>
      </c>
      <c r="EQ40">
        <v>60.7</v>
      </c>
      <c r="ER40">
        <v>24.5</v>
      </c>
      <c r="ES40">
        <v>18.4665</v>
      </c>
      <c r="ET40">
        <v>61.5073</v>
      </c>
      <c r="EU40">
        <v>26.5184</v>
      </c>
      <c r="EV40">
        <v>2</v>
      </c>
      <c r="EW40">
        <v>-0.515836</v>
      </c>
      <c r="EX40">
        <v>0</v>
      </c>
      <c r="EY40">
        <v>20.2937</v>
      </c>
      <c r="EZ40">
        <v>5.20816</v>
      </c>
      <c r="FA40">
        <v>11.968</v>
      </c>
      <c r="FB40">
        <v>4.9907</v>
      </c>
      <c r="FC40">
        <v>3.27117</v>
      </c>
      <c r="FD40">
        <v>2777.2</v>
      </c>
      <c r="FE40">
        <v>9999</v>
      </c>
      <c r="FF40">
        <v>9999</v>
      </c>
      <c r="FG40">
        <v>999.9</v>
      </c>
      <c r="FH40">
        <v>4.97257</v>
      </c>
      <c r="FI40">
        <v>1.86249</v>
      </c>
      <c r="FJ40">
        <v>1.8642</v>
      </c>
      <c r="FK40">
        <v>1.86264</v>
      </c>
      <c r="FL40">
        <v>1.86266</v>
      </c>
      <c r="FM40">
        <v>1.86325</v>
      </c>
      <c r="FN40">
        <v>1.85974</v>
      </c>
      <c r="FO40">
        <v>1.86261</v>
      </c>
      <c r="FP40">
        <v>0</v>
      </c>
      <c r="FQ40">
        <v>0</v>
      </c>
      <c r="FR40">
        <v>0</v>
      </c>
      <c r="FS40">
        <v>0</v>
      </c>
      <c r="FT40" t="s">
        <v>356</v>
      </c>
      <c r="FU40" t="s">
        <v>357</v>
      </c>
      <c r="FV40" t="s">
        <v>358</v>
      </c>
      <c r="FW40" t="s">
        <v>358</v>
      </c>
      <c r="FX40" t="s">
        <v>358</v>
      </c>
      <c r="FY40" t="s">
        <v>358</v>
      </c>
      <c r="FZ40">
        <v>0</v>
      </c>
      <c r="GA40">
        <v>100</v>
      </c>
      <c r="GB40">
        <v>100</v>
      </c>
      <c r="GC40">
        <v>2.104</v>
      </c>
      <c r="GD40">
        <v>0.0992</v>
      </c>
      <c r="GE40">
        <v>2.485914392629431</v>
      </c>
      <c r="GF40">
        <v>-0.001033730503750798</v>
      </c>
      <c r="GG40">
        <v>9.120241388950126E-07</v>
      </c>
      <c r="GH40">
        <v>-2.246115299815222E-10</v>
      </c>
      <c r="GI40">
        <v>-0.03227126969192029</v>
      </c>
      <c r="GJ40">
        <v>-0.01814858093373864</v>
      </c>
      <c r="GK40">
        <v>0.002091959988359369</v>
      </c>
      <c r="GL40">
        <v>-1.90871700788604E-05</v>
      </c>
      <c r="GM40">
        <v>2</v>
      </c>
      <c r="GN40">
        <v>2210</v>
      </c>
      <c r="GO40">
        <v>1</v>
      </c>
      <c r="GP40">
        <v>26</v>
      </c>
      <c r="GQ40">
        <v>2</v>
      </c>
      <c r="GR40">
        <v>4.4</v>
      </c>
      <c r="GS40">
        <v>1.26343</v>
      </c>
      <c r="GT40">
        <v>2.38525</v>
      </c>
      <c r="GU40">
        <v>2.34741</v>
      </c>
      <c r="GV40">
        <v>2.75391</v>
      </c>
      <c r="GW40">
        <v>2.39868</v>
      </c>
      <c r="GX40">
        <v>2.26318</v>
      </c>
      <c r="GY40">
        <v>28.9647</v>
      </c>
      <c r="GZ40">
        <v>13.7468</v>
      </c>
      <c r="HA40">
        <v>18</v>
      </c>
      <c r="HB40">
        <v>689.686</v>
      </c>
      <c r="HC40">
        <v>661.304</v>
      </c>
      <c r="HD40">
        <v>21.7323</v>
      </c>
      <c r="HE40">
        <v>20.556</v>
      </c>
      <c r="HF40">
        <v>30.0005</v>
      </c>
      <c r="HG40">
        <v>20.426</v>
      </c>
      <c r="HH40">
        <v>20.3836</v>
      </c>
      <c r="HI40">
        <v>25.3402</v>
      </c>
      <c r="HJ40">
        <v>27.8687</v>
      </c>
      <c r="HK40">
        <v>30.1015</v>
      </c>
      <c r="HL40">
        <v>-999.9</v>
      </c>
      <c r="HM40">
        <v>405</v>
      </c>
      <c r="HN40">
        <v>13.8722</v>
      </c>
      <c r="HO40">
        <v>101.027</v>
      </c>
      <c r="HP40">
        <v>101.344</v>
      </c>
    </row>
    <row r="41" spans="1:224">
      <c r="A41">
        <v>25</v>
      </c>
      <c r="B41">
        <v>1750699899.5</v>
      </c>
      <c r="C41">
        <v>5036.400000095367</v>
      </c>
      <c r="D41" t="s">
        <v>429</v>
      </c>
      <c r="E41" t="s">
        <v>430</v>
      </c>
      <c r="F41">
        <v>15</v>
      </c>
      <c r="G41">
        <v>1750699891.5</v>
      </c>
      <c r="H41">
        <f>(I41)/1000</f>
        <v>0</v>
      </c>
      <c r="I41">
        <f>IF(BD41, AL41, AF41)</f>
        <v>0</v>
      </c>
      <c r="J41">
        <f>IF(BD41, AG41, AE41)</f>
        <v>0</v>
      </c>
      <c r="K41">
        <f>BF41 - IF(AS41&gt;1, J41*AZ41*100.0/(AU41), 0)</f>
        <v>0</v>
      </c>
      <c r="L41">
        <f>((R41-H41/2)*K41-J41)/(R41+H41/2)</f>
        <v>0</v>
      </c>
      <c r="M41">
        <f>L41*(BM41+BN41)/1000.0</f>
        <v>0</v>
      </c>
      <c r="N41">
        <f>(BF41 - IF(AS41&gt;1, J41*AZ41*100.0/(AU41), 0))*(BM41+BN41)/1000.0</f>
        <v>0</v>
      </c>
      <c r="O41">
        <f>2.0/((1/Q41-1/P41)+SIGN(Q41)*SQRT((1/Q41-1/P41)*(1/Q41-1/P41) + 4*BA41/((BA41+1)*(BA41+1))*(2*1/Q41*1/P41-1/P41*1/P41)))</f>
        <v>0</v>
      </c>
      <c r="P41">
        <f>IF(LEFT(BB41,1)&lt;&gt;"0",IF(LEFT(BB41,1)="1",3.0,BC41),$D$5+$E$5*(BT41*BM41/($K$5*1000))+$F$5*(BT41*BM41/($K$5*1000))*MAX(MIN(AZ41,$J$5),$I$5)*MAX(MIN(AZ41,$J$5),$I$5)+$G$5*MAX(MIN(AZ41,$J$5),$I$5)*(BT41*BM41/($K$5*1000))+$H$5*(BT41*BM41/($K$5*1000))*(BT41*BM41/($K$5*1000)))</f>
        <v>0</v>
      </c>
      <c r="Q41">
        <f>H41*(1000-(1000*0.61365*exp(17.502*U41/(240.97+U41))/(BM41+BN41)+BH41)/2)/(1000*0.61365*exp(17.502*U41/(240.97+U41))/(BM41+BN41)-BH41)</f>
        <v>0</v>
      </c>
      <c r="R41">
        <f>1/((BA41+1)/(O41/1.6)+1/(P41/1.37)) + BA41/((BA41+1)/(O41/1.6) + BA41/(P41/1.37))</f>
        <v>0</v>
      </c>
      <c r="S41">
        <f>(AV41*AY41)</f>
        <v>0</v>
      </c>
      <c r="T41">
        <f>(BO41+(S41+2*0.95*5.67E-8*(((BO41+$B$7)+273)^4-(BO41+273)^4)-44100*H41)/(1.84*29.3*P41+8*0.95*5.67E-8*(BO41+273)^3))</f>
        <v>0</v>
      </c>
      <c r="U41">
        <f>($C$7*BP41+$D$7*BQ41+$E$7*T41)</f>
        <v>0</v>
      </c>
      <c r="V41">
        <f>0.61365*exp(17.502*U41/(240.97+U41))</f>
        <v>0</v>
      </c>
      <c r="W41">
        <f>(X41/Y41*100)</f>
        <v>0</v>
      </c>
      <c r="X41">
        <f>BH41*(BM41+BN41)/1000</f>
        <v>0</v>
      </c>
      <c r="Y41">
        <f>0.61365*exp(17.502*BO41/(240.97+BO41))</f>
        <v>0</v>
      </c>
      <c r="Z41">
        <f>(V41-BH41*(BM41+BN41)/1000)</f>
        <v>0</v>
      </c>
      <c r="AA41">
        <f>(-H41*44100)</f>
        <v>0</v>
      </c>
      <c r="AB41">
        <f>2*29.3*P41*0.92*(BO41-U41)</f>
        <v>0</v>
      </c>
      <c r="AC41">
        <f>2*0.95*5.67E-8*(((BO41+$B$7)+273)^4-(U41+273)^4)</f>
        <v>0</v>
      </c>
      <c r="AD41">
        <f>S41+AC41+AA41+AB41</f>
        <v>0</v>
      </c>
      <c r="AE41">
        <f>BL41*AS41*(BG41-BF41*(1000-AS41*BI41)/(1000-AS41*BH41))/(100*AZ41)</f>
        <v>0</v>
      </c>
      <c r="AF41">
        <f>1000*BL41*AS41*(BH41-BI41)/(100*AZ41*(1000-AS41*BH41))</f>
        <v>0</v>
      </c>
      <c r="AG41">
        <f>(AH41 - AI41 - BM41*1E3/(8.314*(BO41+273.15)) * AK41/BL41 * AJ41) * BL41/(100*AZ41) * (1000 - BI41)/1000</f>
        <v>0</v>
      </c>
      <c r="AH41">
        <v>410.3319503631324</v>
      </c>
      <c r="AI41">
        <v>399.9642000000002</v>
      </c>
      <c r="AJ41">
        <v>-0.001470934482690928</v>
      </c>
      <c r="AK41">
        <v>66.9562733132626</v>
      </c>
      <c r="AL41">
        <f>(AN41 - AM41 + BM41*1E3/(8.314*(BO41+273.15)) * AP41/BL41 * AO41) * BL41/(100*AZ41) * 1000/(1000 - AN41)</f>
        <v>0</v>
      </c>
      <c r="AM41">
        <v>12.8858353114982</v>
      </c>
      <c r="AN41">
        <v>15.13971818181817</v>
      </c>
      <c r="AO41">
        <v>-1.816830614290354E-05</v>
      </c>
      <c r="AP41">
        <v>79.24400454678745</v>
      </c>
      <c r="AQ41">
        <v>137</v>
      </c>
      <c r="AR41">
        <v>17</v>
      </c>
      <c r="AS41">
        <f>IF(AQ41*$H$13&gt;=AU41,1.0,(AU41/(AU41-AQ41*$H$13)))</f>
        <v>0</v>
      </c>
      <c r="AT41">
        <f>(AS41-1)*100</f>
        <v>0</v>
      </c>
      <c r="AU41">
        <f>MAX(0,($B$13+$C$13*BT41)/(1+$D$13*BT41)*BM41/(BO41+273)*$E$13)</f>
        <v>0</v>
      </c>
      <c r="AV41">
        <f>$B$11*BU41+$C$11*BV41+$F$11*CG41*(1-CJ41)</f>
        <v>0</v>
      </c>
      <c r="AW41">
        <f>AV41*AX41</f>
        <v>0</v>
      </c>
      <c r="AX41">
        <f>($B$11*$D$9+$C$11*$D$9+$F$11*((CT41+CL41)/MAX(CT41+CL41+CU41, 0.1)*$I$9+CU41/MAX(CT41+CL41+CU41, 0.1)*$J$9))/($B$11+$C$11+$F$11)</f>
        <v>0</v>
      </c>
      <c r="AY41">
        <f>($B$11*$K$9+$C$11*$K$9+$F$11*((CT41+CL41)/MAX(CT41+CL41+CU41, 0.1)*$P$9+CU41/MAX(CT41+CL41+CU41, 0.1)*$Q$9))/($B$11+$C$11+$F$11)</f>
        <v>0</v>
      </c>
      <c r="AZ41">
        <v>6</v>
      </c>
      <c r="BA41">
        <v>0.5</v>
      </c>
      <c r="BB41" t="s">
        <v>353</v>
      </c>
      <c r="BC41">
        <v>2</v>
      </c>
      <c r="BD41" t="b">
        <v>0</v>
      </c>
      <c r="BE41">
        <v>1750699891.5</v>
      </c>
      <c r="BF41">
        <v>393.9522258064516</v>
      </c>
      <c r="BG41">
        <v>405.0119999999999</v>
      </c>
      <c r="BH41">
        <v>15.13562903225806</v>
      </c>
      <c r="BI41">
        <v>12.88687096774193</v>
      </c>
      <c r="BJ41">
        <v>391.8441290322581</v>
      </c>
      <c r="BK41">
        <v>15.03282258064516</v>
      </c>
      <c r="BL41">
        <v>800.0090322580646</v>
      </c>
      <c r="BM41">
        <v>101.4393225806452</v>
      </c>
      <c r="BN41">
        <v>0.09992303225806454</v>
      </c>
      <c r="BO41">
        <v>22.91022258064515</v>
      </c>
      <c r="BP41">
        <v>22.36054516129033</v>
      </c>
      <c r="BQ41">
        <v>999.9000000000003</v>
      </c>
      <c r="BR41">
        <v>0</v>
      </c>
      <c r="BS41">
        <v>0</v>
      </c>
      <c r="BT41">
        <v>10005.48064516129</v>
      </c>
      <c r="BU41">
        <v>0</v>
      </c>
      <c r="BV41">
        <v>0.00152894</v>
      </c>
      <c r="BW41">
        <v>-11.05977419354839</v>
      </c>
      <c r="BX41">
        <v>400.0066129032259</v>
      </c>
      <c r="BY41">
        <v>410.2995483870968</v>
      </c>
      <c r="BZ41">
        <v>2.24876</v>
      </c>
      <c r="CA41">
        <v>405.0119999999999</v>
      </c>
      <c r="CB41">
        <v>12.88687096774193</v>
      </c>
      <c r="CC41">
        <v>1.535346774193548</v>
      </c>
      <c r="CD41">
        <v>1.307233548387097</v>
      </c>
      <c r="CE41">
        <v>13.32477419354839</v>
      </c>
      <c r="CF41">
        <v>10.88228064516129</v>
      </c>
      <c r="CG41">
        <v>999.9834516129034</v>
      </c>
      <c r="CH41">
        <v>0.9599949354838709</v>
      </c>
      <c r="CI41">
        <v>0.04000483225806451</v>
      </c>
      <c r="CJ41">
        <v>0</v>
      </c>
      <c r="CK41">
        <v>0.7751612903225807</v>
      </c>
      <c r="CL41">
        <v>0</v>
      </c>
      <c r="CM41">
        <v>8856.62258064516</v>
      </c>
      <c r="CN41">
        <v>7946.767419354839</v>
      </c>
      <c r="CO41">
        <v>36.94938709677419</v>
      </c>
      <c r="CP41">
        <v>38.79612903225806</v>
      </c>
      <c r="CQ41">
        <v>38.30629032258064</v>
      </c>
      <c r="CR41">
        <v>38.14493548387096</v>
      </c>
      <c r="CS41">
        <v>37.02193548387096</v>
      </c>
      <c r="CT41">
        <v>959.9787096774193</v>
      </c>
      <c r="CU41">
        <v>40.00225806451613</v>
      </c>
      <c r="CV41">
        <v>0</v>
      </c>
      <c r="CW41">
        <v>1750699916.6</v>
      </c>
      <c r="CX41">
        <v>0</v>
      </c>
      <c r="CY41">
        <v>1750699764.1</v>
      </c>
      <c r="CZ41" t="s">
        <v>428</v>
      </c>
      <c r="DA41">
        <v>1750699764.1</v>
      </c>
      <c r="DB41">
        <v>1750699483.6</v>
      </c>
      <c r="DC41">
        <v>23</v>
      </c>
      <c r="DD41">
        <v>-0.099</v>
      </c>
      <c r="DE41">
        <v>-0.008</v>
      </c>
      <c r="DF41">
        <v>2.104</v>
      </c>
      <c r="DG41">
        <v>0.055</v>
      </c>
      <c r="DH41">
        <v>405</v>
      </c>
      <c r="DI41">
        <v>13</v>
      </c>
      <c r="DJ41">
        <v>0.3</v>
      </c>
      <c r="DK41">
        <v>0.06</v>
      </c>
      <c r="DL41">
        <v>-11.03088536585366</v>
      </c>
      <c r="DM41">
        <v>-0.4973268292683057</v>
      </c>
      <c r="DN41">
        <v>0.05312485781203635</v>
      </c>
      <c r="DO41">
        <v>0</v>
      </c>
      <c r="DP41">
        <v>2.240020487804878</v>
      </c>
      <c r="DQ41">
        <v>0.1341426480836226</v>
      </c>
      <c r="DR41">
        <v>0.01438684459230106</v>
      </c>
      <c r="DS41">
        <v>0</v>
      </c>
      <c r="DT41">
        <v>0</v>
      </c>
      <c r="DU41">
        <v>2</v>
      </c>
      <c r="DV41" t="s">
        <v>372</v>
      </c>
      <c r="DW41">
        <v>3.44719</v>
      </c>
      <c r="DX41">
        <v>2.78074</v>
      </c>
      <c r="DY41">
        <v>0.09623710000000001</v>
      </c>
      <c r="DZ41">
        <v>0.0986324</v>
      </c>
      <c r="EA41">
        <v>0.08656179999999999</v>
      </c>
      <c r="EB41">
        <v>0.0766405</v>
      </c>
      <c r="EC41">
        <v>27382.5</v>
      </c>
      <c r="ED41">
        <v>31073.2</v>
      </c>
      <c r="EE41">
        <v>29418.5</v>
      </c>
      <c r="EF41">
        <v>35048.7</v>
      </c>
      <c r="EG41">
        <v>31077.2</v>
      </c>
      <c r="EH41">
        <v>40196.2</v>
      </c>
      <c r="EI41">
        <v>36218.3</v>
      </c>
      <c r="EJ41">
        <v>46421.7</v>
      </c>
      <c r="EK41">
        <v>2.35022</v>
      </c>
      <c r="EL41">
        <v>2.30508</v>
      </c>
      <c r="EM41">
        <v>0.0931323</v>
      </c>
      <c r="EN41">
        <v>0</v>
      </c>
      <c r="EO41">
        <v>20.8577</v>
      </c>
      <c r="EP41">
        <v>999.9</v>
      </c>
      <c r="EQ41">
        <v>60.3</v>
      </c>
      <c r="ER41">
        <v>24.5</v>
      </c>
      <c r="ES41">
        <v>18.3456</v>
      </c>
      <c r="ET41">
        <v>61.3873</v>
      </c>
      <c r="EU41">
        <v>26.5705</v>
      </c>
      <c r="EV41">
        <v>2</v>
      </c>
      <c r="EW41">
        <v>-0.510259</v>
      </c>
      <c r="EX41">
        <v>0</v>
      </c>
      <c r="EY41">
        <v>20.293</v>
      </c>
      <c r="EZ41">
        <v>5.21519</v>
      </c>
      <c r="FA41">
        <v>11.968</v>
      </c>
      <c r="FB41">
        <v>4.9914</v>
      </c>
      <c r="FC41">
        <v>3.27198</v>
      </c>
      <c r="FD41">
        <v>2782.1</v>
      </c>
      <c r="FE41">
        <v>9999</v>
      </c>
      <c r="FF41">
        <v>9999</v>
      </c>
      <c r="FG41">
        <v>999.9</v>
      </c>
      <c r="FH41">
        <v>4.97261</v>
      </c>
      <c r="FI41">
        <v>1.86249</v>
      </c>
      <c r="FJ41">
        <v>1.86423</v>
      </c>
      <c r="FK41">
        <v>1.86264</v>
      </c>
      <c r="FL41">
        <v>1.86265</v>
      </c>
      <c r="FM41">
        <v>1.86325</v>
      </c>
      <c r="FN41">
        <v>1.85974</v>
      </c>
      <c r="FO41">
        <v>1.86259</v>
      </c>
      <c r="FP41">
        <v>0</v>
      </c>
      <c r="FQ41">
        <v>0</v>
      </c>
      <c r="FR41">
        <v>0</v>
      </c>
      <c r="FS41">
        <v>0</v>
      </c>
      <c r="FT41" t="s">
        <v>356</v>
      </c>
      <c r="FU41" t="s">
        <v>357</v>
      </c>
      <c r="FV41" t="s">
        <v>358</v>
      </c>
      <c r="FW41" t="s">
        <v>358</v>
      </c>
      <c r="FX41" t="s">
        <v>358</v>
      </c>
      <c r="FY41" t="s">
        <v>358</v>
      </c>
      <c r="FZ41">
        <v>0</v>
      </c>
      <c r="GA41">
        <v>100</v>
      </c>
      <c r="GB41">
        <v>100</v>
      </c>
      <c r="GC41">
        <v>2.108</v>
      </c>
      <c r="GD41">
        <v>0.103</v>
      </c>
      <c r="GE41">
        <v>2.386671009585984</v>
      </c>
      <c r="GF41">
        <v>-0.001033730503750798</v>
      </c>
      <c r="GG41">
        <v>9.120241388950126E-07</v>
      </c>
      <c r="GH41">
        <v>-2.246115299815222E-10</v>
      </c>
      <c r="GI41">
        <v>-0.03227126969192029</v>
      </c>
      <c r="GJ41">
        <v>-0.01814858093373864</v>
      </c>
      <c r="GK41">
        <v>0.002091959988359369</v>
      </c>
      <c r="GL41">
        <v>-1.90871700788604E-05</v>
      </c>
      <c r="GM41">
        <v>2</v>
      </c>
      <c r="GN41">
        <v>2210</v>
      </c>
      <c r="GO41">
        <v>1</v>
      </c>
      <c r="GP41">
        <v>26</v>
      </c>
      <c r="GQ41">
        <v>2.3</v>
      </c>
      <c r="GR41">
        <v>6.9</v>
      </c>
      <c r="GS41">
        <v>1.26221</v>
      </c>
      <c r="GT41">
        <v>2.38159</v>
      </c>
      <c r="GU41">
        <v>2.34863</v>
      </c>
      <c r="GV41">
        <v>2.75269</v>
      </c>
      <c r="GW41">
        <v>2.39868</v>
      </c>
      <c r="GX41">
        <v>2.27051</v>
      </c>
      <c r="GY41">
        <v>29.0282</v>
      </c>
      <c r="GZ41">
        <v>13.7118</v>
      </c>
      <c r="HA41">
        <v>18</v>
      </c>
      <c r="HB41">
        <v>638.5410000000001</v>
      </c>
      <c r="HC41">
        <v>659.559</v>
      </c>
      <c r="HD41">
        <v>21.8349</v>
      </c>
      <c r="HE41">
        <v>20.6589</v>
      </c>
      <c r="HF41">
        <v>30.0002</v>
      </c>
      <c r="HG41">
        <v>20.5125</v>
      </c>
      <c r="HH41">
        <v>20.4587</v>
      </c>
      <c r="HI41">
        <v>25.3202</v>
      </c>
      <c r="HJ41">
        <v>32.7578</v>
      </c>
      <c r="HK41">
        <v>28.2231</v>
      </c>
      <c r="HL41">
        <v>-999.9</v>
      </c>
      <c r="HM41">
        <v>405</v>
      </c>
      <c r="HN41">
        <v>12.9049</v>
      </c>
      <c r="HO41">
        <v>101.013</v>
      </c>
      <c r="HP41">
        <v>101.336</v>
      </c>
    </row>
    <row r="42" spans="1:224">
      <c r="A42">
        <v>26</v>
      </c>
      <c r="B42">
        <v>1750700036</v>
      </c>
      <c r="C42">
        <v>5172.900000095367</v>
      </c>
      <c r="D42" t="s">
        <v>431</v>
      </c>
      <c r="E42" t="s">
        <v>432</v>
      </c>
      <c r="F42">
        <v>15</v>
      </c>
      <c r="G42">
        <v>1750700028.25</v>
      </c>
      <c r="H42">
        <f>(I42)/1000</f>
        <v>0</v>
      </c>
      <c r="I42">
        <f>IF(BD42, AL42, AF42)</f>
        <v>0</v>
      </c>
      <c r="J42">
        <f>IF(BD42, AG42, AE42)</f>
        <v>0</v>
      </c>
      <c r="K42">
        <f>BF42 - IF(AS42&gt;1, J42*AZ42*100.0/(AU42), 0)</f>
        <v>0</v>
      </c>
      <c r="L42">
        <f>((R42-H42/2)*K42-J42)/(R42+H42/2)</f>
        <v>0</v>
      </c>
      <c r="M42">
        <f>L42*(BM42+BN42)/1000.0</f>
        <v>0</v>
      </c>
      <c r="N42">
        <f>(BF42 - IF(AS42&gt;1, J42*AZ42*100.0/(AU42), 0))*(BM42+BN42)/1000.0</f>
        <v>0</v>
      </c>
      <c r="O42">
        <f>2.0/((1/Q42-1/P42)+SIGN(Q42)*SQRT((1/Q42-1/P42)*(1/Q42-1/P42) + 4*BA42/((BA42+1)*(BA42+1))*(2*1/Q42*1/P42-1/P42*1/P42)))</f>
        <v>0</v>
      </c>
      <c r="P42">
        <f>IF(LEFT(BB42,1)&lt;&gt;"0",IF(LEFT(BB42,1)="1",3.0,BC42),$D$5+$E$5*(BT42*BM42/($K$5*1000))+$F$5*(BT42*BM42/($K$5*1000))*MAX(MIN(AZ42,$J$5),$I$5)*MAX(MIN(AZ42,$J$5),$I$5)+$G$5*MAX(MIN(AZ42,$J$5),$I$5)*(BT42*BM42/($K$5*1000))+$H$5*(BT42*BM42/($K$5*1000))*(BT42*BM42/($K$5*1000)))</f>
        <v>0</v>
      </c>
      <c r="Q42">
        <f>H42*(1000-(1000*0.61365*exp(17.502*U42/(240.97+U42))/(BM42+BN42)+BH42)/2)/(1000*0.61365*exp(17.502*U42/(240.97+U42))/(BM42+BN42)-BH42)</f>
        <v>0</v>
      </c>
      <c r="R42">
        <f>1/((BA42+1)/(O42/1.6)+1/(P42/1.37)) + BA42/((BA42+1)/(O42/1.6) + BA42/(P42/1.37))</f>
        <v>0</v>
      </c>
      <c r="S42">
        <f>(AV42*AY42)</f>
        <v>0</v>
      </c>
      <c r="T42">
        <f>(BO42+(S42+2*0.95*5.67E-8*(((BO42+$B$7)+273)^4-(BO42+273)^4)-44100*H42)/(1.84*29.3*P42+8*0.95*5.67E-8*(BO42+273)^3))</f>
        <v>0</v>
      </c>
      <c r="U42">
        <f>($C$7*BP42+$D$7*BQ42+$E$7*T42)</f>
        <v>0</v>
      </c>
      <c r="V42">
        <f>0.61365*exp(17.502*U42/(240.97+U42))</f>
        <v>0</v>
      </c>
      <c r="W42">
        <f>(X42/Y42*100)</f>
        <v>0</v>
      </c>
      <c r="X42">
        <f>BH42*(BM42+BN42)/1000</f>
        <v>0</v>
      </c>
      <c r="Y42">
        <f>0.61365*exp(17.502*BO42/(240.97+BO42))</f>
        <v>0</v>
      </c>
      <c r="Z42">
        <f>(V42-BH42*(BM42+BN42)/1000)</f>
        <v>0</v>
      </c>
      <c r="AA42">
        <f>(-H42*44100)</f>
        <v>0</v>
      </c>
      <c r="AB42">
        <f>2*29.3*P42*0.92*(BO42-U42)</f>
        <v>0</v>
      </c>
      <c r="AC42">
        <f>2*0.95*5.67E-8*(((BO42+$B$7)+273)^4-(U42+273)^4)</f>
        <v>0</v>
      </c>
      <c r="AD42">
        <f>S42+AC42+AA42+AB42</f>
        <v>0</v>
      </c>
      <c r="AE42">
        <f>BL42*AS42*(BG42-BF42*(1000-AS42*BI42)/(1000-AS42*BH42))/(100*AZ42)</f>
        <v>0</v>
      </c>
      <c r="AF42">
        <f>1000*BL42*AS42*(BH42-BI42)/(100*AZ42*(1000-AS42*BH42))</f>
        <v>0</v>
      </c>
      <c r="AG42">
        <f>(AH42 - AI42 - BM42*1E3/(8.314*(BO42+273.15)) * AK42/BL42 * AJ42) * BL42/(100*AZ42) * (1000 - BI42)/1000</f>
        <v>0</v>
      </c>
      <c r="AH42">
        <v>409.9321644320165</v>
      </c>
      <c r="AI42">
        <v>405.7401878787878</v>
      </c>
      <c r="AJ42">
        <v>0.0003938737798834986</v>
      </c>
      <c r="AK42">
        <v>66.95772309961305</v>
      </c>
      <c r="AL42">
        <f>(AN42 - AM42 + BM42*1E3/(8.314*(BO42+273.15)) * AP42/BL42 * AO42) * BL42/(100*AZ42) * 1000/(1000 - AN42)</f>
        <v>0</v>
      </c>
      <c r="AM42">
        <v>12.06152357204913</v>
      </c>
      <c r="AN42">
        <v>14.96626121212121</v>
      </c>
      <c r="AO42">
        <v>-0.0002483359679950353</v>
      </c>
      <c r="AP42">
        <v>79.2182208247677</v>
      </c>
      <c r="AQ42">
        <v>46</v>
      </c>
      <c r="AR42">
        <v>6</v>
      </c>
      <c r="AS42">
        <f>IF(AQ42*$H$13&gt;=AU42,1.0,(AU42/(AU42-AQ42*$H$13)))</f>
        <v>0</v>
      </c>
      <c r="AT42">
        <f>(AS42-1)*100</f>
        <v>0</v>
      </c>
      <c r="AU42">
        <f>MAX(0,($B$13+$C$13*BT42)/(1+$D$13*BT42)*BM42/(BO42+273)*$E$13)</f>
        <v>0</v>
      </c>
      <c r="AV42">
        <f>$B$11*BU42+$C$11*BV42+$F$11*CG42*(1-CJ42)</f>
        <v>0</v>
      </c>
      <c r="AW42">
        <f>AV42*AX42</f>
        <v>0</v>
      </c>
      <c r="AX42">
        <f>($B$11*$D$9+$C$11*$D$9+$F$11*((CT42+CL42)/MAX(CT42+CL42+CU42, 0.1)*$I$9+CU42/MAX(CT42+CL42+CU42, 0.1)*$J$9))/($B$11+$C$11+$F$11)</f>
        <v>0</v>
      </c>
      <c r="AY42">
        <f>($B$11*$K$9+$C$11*$K$9+$F$11*((CT42+CL42)/MAX(CT42+CL42+CU42, 0.1)*$P$9+CU42/MAX(CT42+CL42+CU42, 0.1)*$Q$9))/($B$11+$C$11+$F$11)</f>
        <v>0</v>
      </c>
      <c r="AZ42">
        <v>6</v>
      </c>
      <c r="BA42">
        <v>0.5</v>
      </c>
      <c r="BB42" t="s">
        <v>353</v>
      </c>
      <c r="BC42">
        <v>2</v>
      </c>
      <c r="BD42" t="b">
        <v>0</v>
      </c>
      <c r="BE42">
        <v>1750700028.25</v>
      </c>
      <c r="BF42">
        <v>399.7436666666666</v>
      </c>
      <c r="BG42">
        <v>404.9962333333333</v>
      </c>
      <c r="BH42">
        <v>14.98879</v>
      </c>
      <c r="BI42">
        <v>12.06758</v>
      </c>
      <c r="BJ42">
        <v>397.5766666666666</v>
      </c>
      <c r="BK42">
        <v>14.89046666666666</v>
      </c>
      <c r="BL42">
        <v>800.0276666666665</v>
      </c>
      <c r="BM42">
        <v>101.4383666666667</v>
      </c>
      <c r="BN42">
        <v>0.09990753666666667</v>
      </c>
      <c r="BO42">
        <v>22.75374333333333</v>
      </c>
      <c r="BP42">
        <v>21.78403</v>
      </c>
      <c r="BQ42">
        <v>999.9000000000002</v>
      </c>
      <c r="BR42">
        <v>0</v>
      </c>
      <c r="BS42">
        <v>0</v>
      </c>
      <c r="BT42">
        <v>10007.68633333334</v>
      </c>
      <c r="BU42">
        <v>0</v>
      </c>
      <c r="BV42">
        <v>0.00152894</v>
      </c>
      <c r="BW42">
        <v>-5.313877333333334</v>
      </c>
      <c r="BX42">
        <v>405.7641333333333</v>
      </c>
      <c r="BY42">
        <v>409.9431999999999</v>
      </c>
      <c r="BZ42">
        <v>2.921199666666667</v>
      </c>
      <c r="CA42">
        <v>404.9962333333333</v>
      </c>
      <c r="CB42">
        <v>12.06758</v>
      </c>
      <c r="CC42">
        <v>1.520436</v>
      </c>
      <c r="CD42">
        <v>1.224115333333334</v>
      </c>
      <c r="CE42">
        <v>13.17523</v>
      </c>
      <c r="CF42">
        <v>9.898106</v>
      </c>
      <c r="CG42">
        <v>999.9977666666666</v>
      </c>
      <c r="CH42">
        <v>0.9600013000000001</v>
      </c>
      <c r="CI42">
        <v>0.03999858</v>
      </c>
      <c r="CJ42">
        <v>0</v>
      </c>
      <c r="CK42">
        <v>1.369833333333333</v>
      </c>
      <c r="CL42">
        <v>0</v>
      </c>
      <c r="CM42">
        <v>5367.159333333333</v>
      </c>
      <c r="CN42">
        <v>7946.898333333333</v>
      </c>
      <c r="CO42">
        <v>37.05399999999999</v>
      </c>
      <c r="CP42">
        <v>39.85799999999998</v>
      </c>
      <c r="CQ42">
        <v>38.4664</v>
      </c>
      <c r="CR42">
        <v>38.97886666666665</v>
      </c>
      <c r="CS42">
        <v>37.01639999999999</v>
      </c>
      <c r="CT42">
        <v>959.9996666666666</v>
      </c>
      <c r="CU42">
        <v>40</v>
      </c>
      <c r="CV42">
        <v>0</v>
      </c>
      <c r="CW42">
        <v>1750700052.8</v>
      </c>
      <c r="CX42">
        <v>0</v>
      </c>
      <c r="CY42">
        <v>1750700053</v>
      </c>
      <c r="CZ42" t="s">
        <v>433</v>
      </c>
      <c r="DA42">
        <v>1750700053</v>
      </c>
      <c r="DB42">
        <v>1750699483.6</v>
      </c>
      <c r="DC42">
        <v>24</v>
      </c>
      <c r="DD42">
        <v>0.063</v>
      </c>
      <c r="DE42">
        <v>-0.008</v>
      </c>
      <c r="DF42">
        <v>2.167</v>
      </c>
      <c r="DG42">
        <v>0.055</v>
      </c>
      <c r="DH42">
        <v>405</v>
      </c>
      <c r="DI42">
        <v>13</v>
      </c>
      <c r="DJ42">
        <v>0.22</v>
      </c>
      <c r="DK42">
        <v>0.06</v>
      </c>
      <c r="DL42">
        <v>-5.310911249999999</v>
      </c>
      <c r="DM42">
        <v>-0.03415058161349017</v>
      </c>
      <c r="DN42">
        <v>0.01945391325511399</v>
      </c>
      <c r="DO42">
        <v>1</v>
      </c>
      <c r="DP42">
        <v>2.92748925</v>
      </c>
      <c r="DQ42">
        <v>-0.1178491181988795</v>
      </c>
      <c r="DR42">
        <v>0.01170664157380333</v>
      </c>
      <c r="DS42">
        <v>0</v>
      </c>
      <c r="DT42">
        <v>1</v>
      </c>
      <c r="DU42">
        <v>2</v>
      </c>
      <c r="DV42" t="s">
        <v>355</v>
      </c>
      <c r="DW42">
        <v>3.44673</v>
      </c>
      <c r="DX42">
        <v>2.78066</v>
      </c>
      <c r="DY42">
        <v>0.0973077</v>
      </c>
      <c r="DZ42">
        <v>0.09860430000000001</v>
      </c>
      <c r="EA42">
        <v>0.0858279</v>
      </c>
      <c r="EB42">
        <v>0.07293769999999999</v>
      </c>
      <c r="EC42">
        <v>27349.8</v>
      </c>
      <c r="ED42">
        <v>31071.7</v>
      </c>
      <c r="EE42">
        <v>29418.2</v>
      </c>
      <c r="EF42">
        <v>35046.1</v>
      </c>
      <c r="EG42">
        <v>31102.4</v>
      </c>
      <c r="EH42">
        <v>40355.6</v>
      </c>
      <c r="EI42">
        <v>36217.9</v>
      </c>
      <c r="EJ42">
        <v>46418.8</v>
      </c>
      <c r="EK42">
        <v>2.49493</v>
      </c>
      <c r="EL42">
        <v>2.302</v>
      </c>
      <c r="EM42">
        <v>0.0571422</v>
      </c>
      <c r="EN42">
        <v>0</v>
      </c>
      <c r="EO42">
        <v>20.8508</v>
      </c>
      <c r="EP42">
        <v>999.9</v>
      </c>
      <c r="EQ42">
        <v>59.8</v>
      </c>
      <c r="ER42">
        <v>24.6</v>
      </c>
      <c r="ES42">
        <v>18.3033</v>
      </c>
      <c r="ET42">
        <v>61.3973</v>
      </c>
      <c r="EU42">
        <v>26.5625</v>
      </c>
      <c r="EV42">
        <v>2</v>
      </c>
      <c r="EW42">
        <v>-0.5078510000000001</v>
      </c>
      <c r="EX42">
        <v>0</v>
      </c>
      <c r="EY42">
        <v>20.2948</v>
      </c>
      <c r="EZ42">
        <v>5.2113</v>
      </c>
      <c r="FA42">
        <v>11.968</v>
      </c>
      <c r="FB42">
        <v>4.9916</v>
      </c>
      <c r="FC42">
        <v>3.27198</v>
      </c>
      <c r="FD42">
        <v>2786.5</v>
      </c>
      <c r="FE42">
        <v>9999</v>
      </c>
      <c r="FF42">
        <v>9999</v>
      </c>
      <c r="FG42">
        <v>999.9</v>
      </c>
      <c r="FH42">
        <v>4.9726</v>
      </c>
      <c r="FI42">
        <v>1.86249</v>
      </c>
      <c r="FJ42">
        <v>1.86421</v>
      </c>
      <c r="FK42">
        <v>1.86264</v>
      </c>
      <c r="FL42">
        <v>1.86271</v>
      </c>
      <c r="FM42">
        <v>1.86325</v>
      </c>
      <c r="FN42">
        <v>1.85974</v>
      </c>
      <c r="FO42">
        <v>1.86264</v>
      </c>
      <c r="FP42">
        <v>0</v>
      </c>
      <c r="FQ42">
        <v>0</v>
      </c>
      <c r="FR42">
        <v>0</v>
      </c>
      <c r="FS42">
        <v>0</v>
      </c>
      <c r="FT42" t="s">
        <v>356</v>
      </c>
      <c r="FU42" t="s">
        <v>357</v>
      </c>
      <c r="FV42" t="s">
        <v>358</v>
      </c>
      <c r="FW42" t="s">
        <v>358</v>
      </c>
      <c r="FX42" t="s">
        <v>358</v>
      </c>
      <c r="FY42" t="s">
        <v>358</v>
      </c>
      <c r="FZ42">
        <v>0</v>
      </c>
      <c r="GA42">
        <v>100</v>
      </c>
      <c r="GB42">
        <v>100</v>
      </c>
      <c r="GC42">
        <v>2.167</v>
      </c>
      <c r="GD42">
        <v>0.09760000000000001</v>
      </c>
      <c r="GE42">
        <v>2.386671009585984</v>
      </c>
      <c r="GF42">
        <v>-0.001033730503750798</v>
      </c>
      <c r="GG42">
        <v>9.120241388950126E-07</v>
      </c>
      <c r="GH42">
        <v>-2.246115299815222E-10</v>
      </c>
      <c r="GI42">
        <v>-0.03227126969192029</v>
      </c>
      <c r="GJ42">
        <v>-0.01814858093373864</v>
      </c>
      <c r="GK42">
        <v>0.002091959988359369</v>
      </c>
      <c r="GL42">
        <v>-1.90871700788604E-05</v>
      </c>
      <c r="GM42">
        <v>2</v>
      </c>
      <c r="GN42">
        <v>2210</v>
      </c>
      <c r="GO42">
        <v>1</v>
      </c>
      <c r="GP42">
        <v>26</v>
      </c>
      <c r="GQ42">
        <v>4.5</v>
      </c>
      <c r="GR42">
        <v>9.199999999999999</v>
      </c>
      <c r="GS42">
        <v>1.26221</v>
      </c>
      <c r="GT42">
        <v>2.37793</v>
      </c>
      <c r="GU42">
        <v>2.34863</v>
      </c>
      <c r="GV42">
        <v>2.75269</v>
      </c>
      <c r="GW42">
        <v>2.39868</v>
      </c>
      <c r="GX42">
        <v>2.24731</v>
      </c>
      <c r="GY42">
        <v>29.1342</v>
      </c>
      <c r="GZ42">
        <v>13.6942</v>
      </c>
      <c r="HA42">
        <v>18</v>
      </c>
      <c r="HB42">
        <v>747.273</v>
      </c>
      <c r="HC42">
        <v>657.699</v>
      </c>
      <c r="HD42">
        <v>21.9005</v>
      </c>
      <c r="HE42">
        <v>20.7</v>
      </c>
      <c r="HF42">
        <v>30</v>
      </c>
      <c r="HG42">
        <v>20.5543</v>
      </c>
      <c r="HH42">
        <v>20.5041</v>
      </c>
      <c r="HI42">
        <v>25.3052</v>
      </c>
      <c r="HJ42">
        <v>36.131</v>
      </c>
      <c r="HK42">
        <v>25.1699</v>
      </c>
      <c r="HL42">
        <v>-999.9</v>
      </c>
      <c r="HM42">
        <v>405</v>
      </c>
      <c r="HN42">
        <v>12.1097</v>
      </c>
      <c r="HO42">
        <v>101.012</v>
      </c>
      <c r="HP42">
        <v>101.329</v>
      </c>
    </row>
    <row r="43" spans="1:224">
      <c r="A43">
        <v>27</v>
      </c>
      <c r="B43">
        <v>1750700158</v>
      </c>
      <c r="C43">
        <v>5294.900000095367</v>
      </c>
      <c r="D43" t="s">
        <v>434</v>
      </c>
      <c r="E43" t="s">
        <v>435</v>
      </c>
      <c r="F43">
        <v>15</v>
      </c>
      <c r="G43">
        <v>1750700150</v>
      </c>
      <c r="H43">
        <f>(I43)/1000</f>
        <v>0</v>
      </c>
      <c r="I43">
        <f>IF(BD43, AL43, AF43)</f>
        <v>0</v>
      </c>
      <c r="J43">
        <f>IF(BD43, AG43, AE43)</f>
        <v>0</v>
      </c>
      <c r="K43">
        <f>BF43 - IF(AS43&gt;1, J43*AZ43*100.0/(AU43), 0)</f>
        <v>0</v>
      </c>
      <c r="L43">
        <f>((R43-H43/2)*K43-J43)/(R43+H43/2)</f>
        <v>0</v>
      </c>
      <c r="M43">
        <f>L43*(BM43+BN43)/1000.0</f>
        <v>0</v>
      </c>
      <c r="N43">
        <f>(BF43 - IF(AS43&gt;1, J43*AZ43*100.0/(AU43), 0))*(BM43+BN43)/1000.0</f>
        <v>0</v>
      </c>
      <c r="O43">
        <f>2.0/((1/Q43-1/P43)+SIGN(Q43)*SQRT((1/Q43-1/P43)*(1/Q43-1/P43) + 4*BA43/((BA43+1)*(BA43+1))*(2*1/Q43*1/P43-1/P43*1/P43)))</f>
        <v>0</v>
      </c>
      <c r="P43">
        <f>IF(LEFT(BB43,1)&lt;&gt;"0",IF(LEFT(BB43,1)="1",3.0,BC43),$D$5+$E$5*(BT43*BM43/($K$5*1000))+$F$5*(BT43*BM43/($K$5*1000))*MAX(MIN(AZ43,$J$5),$I$5)*MAX(MIN(AZ43,$J$5),$I$5)+$G$5*MAX(MIN(AZ43,$J$5),$I$5)*(BT43*BM43/($K$5*1000))+$H$5*(BT43*BM43/($K$5*1000))*(BT43*BM43/($K$5*1000)))</f>
        <v>0</v>
      </c>
      <c r="Q43">
        <f>H43*(1000-(1000*0.61365*exp(17.502*U43/(240.97+U43))/(BM43+BN43)+BH43)/2)/(1000*0.61365*exp(17.502*U43/(240.97+U43))/(BM43+BN43)-BH43)</f>
        <v>0</v>
      </c>
      <c r="R43">
        <f>1/((BA43+1)/(O43/1.6)+1/(P43/1.37)) + BA43/((BA43+1)/(O43/1.6) + BA43/(P43/1.37))</f>
        <v>0</v>
      </c>
      <c r="S43">
        <f>(AV43*AY43)</f>
        <v>0</v>
      </c>
      <c r="T43">
        <f>(BO43+(S43+2*0.95*5.67E-8*(((BO43+$B$7)+273)^4-(BO43+273)^4)-44100*H43)/(1.84*29.3*P43+8*0.95*5.67E-8*(BO43+273)^3))</f>
        <v>0</v>
      </c>
      <c r="U43">
        <f>($C$7*BP43+$D$7*BQ43+$E$7*T43)</f>
        <v>0</v>
      </c>
      <c r="V43">
        <f>0.61365*exp(17.502*U43/(240.97+U43))</f>
        <v>0</v>
      </c>
      <c r="W43">
        <f>(X43/Y43*100)</f>
        <v>0</v>
      </c>
      <c r="X43">
        <f>BH43*(BM43+BN43)/1000</f>
        <v>0</v>
      </c>
      <c r="Y43">
        <f>0.61365*exp(17.502*BO43/(240.97+BO43))</f>
        <v>0</v>
      </c>
      <c r="Z43">
        <f>(V43-BH43*(BM43+BN43)/1000)</f>
        <v>0</v>
      </c>
      <c r="AA43">
        <f>(-H43*44100)</f>
        <v>0</v>
      </c>
      <c r="AB43">
        <f>2*29.3*P43*0.92*(BO43-U43)</f>
        <v>0</v>
      </c>
      <c r="AC43">
        <f>2*0.95*5.67E-8*(((BO43+$B$7)+273)^4-(U43+273)^4)</f>
        <v>0</v>
      </c>
      <c r="AD43">
        <f>S43+AC43+AA43+AB43</f>
        <v>0</v>
      </c>
      <c r="AE43">
        <f>BL43*AS43*(BG43-BF43*(1000-AS43*BI43)/(1000-AS43*BH43))/(100*AZ43)</f>
        <v>0</v>
      </c>
      <c r="AF43">
        <f>1000*BL43*AS43*(BH43-BI43)/(100*AZ43*(1000-AS43*BH43))</f>
        <v>0</v>
      </c>
      <c r="AG43">
        <f>(AH43 - AI43 - BM43*1E3/(8.314*(BO43+273.15)) * AK43/BL43 * AJ43) * BL43/(100*AZ43) * (1000 - BI43)/1000</f>
        <v>0</v>
      </c>
      <c r="AH43">
        <v>410.7702760971007</v>
      </c>
      <c r="AI43">
        <v>406.6424242424241</v>
      </c>
      <c r="AJ43">
        <v>-0.0003795388275081188</v>
      </c>
      <c r="AK43">
        <v>66.95657448475556</v>
      </c>
      <c r="AL43">
        <f>(AN43 - AM43 + BM43*1E3/(8.314*(BO43+273.15)) * AP43/BL43 * AO43) * BL43/(100*AZ43) * 1000/(1000 - AN43)</f>
        <v>0</v>
      </c>
      <c r="AM43">
        <v>14.05698334854512</v>
      </c>
      <c r="AN43">
        <v>15.11834969696969</v>
      </c>
      <c r="AO43">
        <v>0.006017571178639482</v>
      </c>
      <c r="AP43">
        <v>79.23443068077724</v>
      </c>
      <c r="AQ43">
        <v>151</v>
      </c>
      <c r="AR43">
        <v>19</v>
      </c>
      <c r="AS43">
        <f>IF(AQ43*$H$13&gt;=AU43,1.0,(AU43/(AU43-AQ43*$H$13)))</f>
        <v>0</v>
      </c>
      <c r="AT43">
        <f>(AS43-1)*100</f>
        <v>0</v>
      </c>
      <c r="AU43">
        <f>MAX(0,($B$13+$C$13*BT43)/(1+$D$13*BT43)*BM43/(BO43+273)*$E$13)</f>
        <v>0</v>
      </c>
      <c r="AV43">
        <f>$B$11*BU43+$C$11*BV43+$F$11*CG43*(1-CJ43)</f>
        <v>0</v>
      </c>
      <c r="AW43">
        <f>AV43*AX43</f>
        <v>0</v>
      </c>
      <c r="AX43">
        <f>($B$11*$D$9+$C$11*$D$9+$F$11*((CT43+CL43)/MAX(CT43+CL43+CU43, 0.1)*$I$9+CU43/MAX(CT43+CL43+CU43, 0.1)*$J$9))/($B$11+$C$11+$F$11)</f>
        <v>0</v>
      </c>
      <c r="AY43">
        <f>($B$11*$K$9+$C$11*$K$9+$F$11*((CT43+CL43)/MAX(CT43+CL43+CU43, 0.1)*$P$9+CU43/MAX(CT43+CL43+CU43, 0.1)*$Q$9))/($B$11+$C$11+$F$11)</f>
        <v>0</v>
      </c>
      <c r="AZ43">
        <v>6</v>
      </c>
      <c r="BA43">
        <v>0.5</v>
      </c>
      <c r="BB43" t="s">
        <v>353</v>
      </c>
      <c r="BC43">
        <v>2</v>
      </c>
      <c r="BD43" t="b">
        <v>0</v>
      </c>
      <c r="BE43">
        <v>1750700150</v>
      </c>
      <c r="BF43">
        <v>400.4329999999999</v>
      </c>
      <c r="BG43">
        <v>404.9765161290323</v>
      </c>
      <c r="BH43">
        <v>15.06448709677419</v>
      </c>
      <c r="BI43">
        <v>13.99551935483871</v>
      </c>
      <c r="BJ43">
        <v>398.3349999999999</v>
      </c>
      <c r="BK43">
        <v>14.98148709677419</v>
      </c>
      <c r="BL43">
        <v>800.0278064516127</v>
      </c>
      <c r="BM43">
        <v>101.4420322580645</v>
      </c>
      <c r="BN43">
        <v>0.1000829903225807</v>
      </c>
      <c r="BO43">
        <v>22.98116129032258</v>
      </c>
      <c r="BP43">
        <v>22.22864838709677</v>
      </c>
      <c r="BQ43">
        <v>999.9000000000003</v>
      </c>
      <c r="BR43">
        <v>0</v>
      </c>
      <c r="BS43">
        <v>0</v>
      </c>
      <c r="BT43">
        <v>9993.442258064517</v>
      </c>
      <c r="BU43">
        <v>0</v>
      </c>
      <c r="BV43">
        <v>0.00152894</v>
      </c>
      <c r="BW43">
        <v>-4.472789032258065</v>
      </c>
      <c r="BX43">
        <v>406.6369032258065</v>
      </c>
      <c r="BY43">
        <v>410.7248387096774</v>
      </c>
      <c r="BZ43">
        <v>1.087156451612903</v>
      </c>
      <c r="CA43">
        <v>404.9765161290323</v>
      </c>
      <c r="CB43">
        <v>13.99551935483871</v>
      </c>
      <c r="CC43">
        <v>1.530015806451613</v>
      </c>
      <c r="CD43">
        <v>1.419733225806452</v>
      </c>
      <c r="CE43">
        <v>13.27145483870968</v>
      </c>
      <c r="CF43">
        <v>12.12996451612903</v>
      </c>
      <c r="CG43">
        <v>999.9871612903225</v>
      </c>
      <c r="CH43">
        <v>0.9600001935483872</v>
      </c>
      <c r="CI43">
        <v>0.03999995806451612</v>
      </c>
      <c r="CJ43">
        <v>0</v>
      </c>
      <c r="CK43">
        <v>3.73758064516129</v>
      </c>
      <c r="CL43">
        <v>0</v>
      </c>
      <c r="CM43">
        <v>6744.855161290322</v>
      </c>
      <c r="CN43">
        <v>7946.812903225807</v>
      </c>
      <c r="CO43">
        <v>38.00990322580644</v>
      </c>
      <c r="CP43">
        <v>40.87277419354837</v>
      </c>
      <c r="CQ43">
        <v>39.36477419354838</v>
      </c>
      <c r="CR43">
        <v>40.55225806451612</v>
      </c>
      <c r="CS43">
        <v>37.94325806451613</v>
      </c>
      <c r="CT43">
        <v>959.9867741935484</v>
      </c>
      <c r="CU43">
        <v>40.00096774193548</v>
      </c>
      <c r="CV43">
        <v>0</v>
      </c>
      <c r="CW43">
        <v>1750700175.2</v>
      </c>
      <c r="CX43">
        <v>0</v>
      </c>
      <c r="CY43">
        <v>1750700175</v>
      </c>
      <c r="CZ43" t="s">
        <v>436</v>
      </c>
      <c r="DA43">
        <v>1750700175</v>
      </c>
      <c r="DB43">
        <v>1750700175</v>
      </c>
      <c r="DC43">
        <v>25</v>
      </c>
      <c r="DD43">
        <v>-0.068</v>
      </c>
      <c r="DE43">
        <v>0.008999999999999999</v>
      </c>
      <c r="DF43">
        <v>2.098</v>
      </c>
      <c r="DG43">
        <v>0.083</v>
      </c>
      <c r="DH43">
        <v>405</v>
      </c>
      <c r="DI43">
        <v>14</v>
      </c>
      <c r="DJ43">
        <v>0.24</v>
      </c>
      <c r="DK43">
        <v>0.06</v>
      </c>
      <c r="DL43">
        <v>-4.4731265</v>
      </c>
      <c r="DM43">
        <v>0.002863789868680285</v>
      </c>
      <c r="DN43">
        <v>0.02819042156034559</v>
      </c>
      <c r="DO43">
        <v>1</v>
      </c>
      <c r="DP43">
        <v>1.09617125</v>
      </c>
      <c r="DQ43">
        <v>-0.3197609380863057</v>
      </c>
      <c r="DR43">
        <v>0.03331482831919596</v>
      </c>
      <c r="DS43">
        <v>0</v>
      </c>
      <c r="DT43">
        <v>1</v>
      </c>
      <c r="DU43">
        <v>2</v>
      </c>
      <c r="DV43" t="s">
        <v>355</v>
      </c>
      <c r="DW43">
        <v>3.44782</v>
      </c>
      <c r="DX43">
        <v>2.78075</v>
      </c>
      <c r="DY43">
        <v>0.097446</v>
      </c>
      <c r="DZ43">
        <v>0.0986177</v>
      </c>
      <c r="EA43">
        <v>0.086466</v>
      </c>
      <c r="EB43">
        <v>0.0817634</v>
      </c>
      <c r="EC43">
        <v>27344</v>
      </c>
      <c r="ED43">
        <v>31070</v>
      </c>
      <c r="EE43">
        <v>29416.6</v>
      </c>
      <c r="EF43">
        <v>35044.7</v>
      </c>
      <c r="EG43">
        <v>31078.7</v>
      </c>
      <c r="EH43">
        <v>39968.3</v>
      </c>
      <c r="EI43">
        <v>36216</v>
      </c>
      <c r="EJ43">
        <v>46416.8</v>
      </c>
      <c r="EK43">
        <v>2.32575</v>
      </c>
      <c r="EL43">
        <v>2.30555</v>
      </c>
      <c r="EM43">
        <v>0.08406859999999999</v>
      </c>
      <c r="EN43">
        <v>0</v>
      </c>
      <c r="EO43">
        <v>20.9069</v>
      </c>
      <c r="EP43">
        <v>999.9</v>
      </c>
      <c r="EQ43">
        <v>59.4</v>
      </c>
      <c r="ER43">
        <v>24.7</v>
      </c>
      <c r="ES43">
        <v>18.2879</v>
      </c>
      <c r="ET43">
        <v>61.8873</v>
      </c>
      <c r="EU43">
        <v>26.4583</v>
      </c>
      <c r="EV43">
        <v>2</v>
      </c>
      <c r="EW43">
        <v>-0.506197</v>
      </c>
      <c r="EX43">
        <v>0</v>
      </c>
      <c r="EY43">
        <v>20.2947</v>
      </c>
      <c r="EZ43">
        <v>5.21534</v>
      </c>
      <c r="FA43">
        <v>11.968</v>
      </c>
      <c r="FB43">
        <v>4.99175</v>
      </c>
      <c r="FC43">
        <v>3.27195</v>
      </c>
      <c r="FD43">
        <v>2790.4</v>
      </c>
      <c r="FE43">
        <v>9999</v>
      </c>
      <c r="FF43">
        <v>9999</v>
      </c>
      <c r="FG43">
        <v>999.9</v>
      </c>
      <c r="FH43">
        <v>4.97261</v>
      </c>
      <c r="FI43">
        <v>1.86249</v>
      </c>
      <c r="FJ43">
        <v>1.86427</v>
      </c>
      <c r="FK43">
        <v>1.86264</v>
      </c>
      <c r="FL43">
        <v>1.86273</v>
      </c>
      <c r="FM43">
        <v>1.86325</v>
      </c>
      <c r="FN43">
        <v>1.85975</v>
      </c>
      <c r="FO43">
        <v>1.86263</v>
      </c>
      <c r="FP43">
        <v>0</v>
      </c>
      <c r="FQ43">
        <v>0</v>
      </c>
      <c r="FR43">
        <v>0</v>
      </c>
      <c r="FS43">
        <v>0</v>
      </c>
      <c r="FT43" t="s">
        <v>356</v>
      </c>
      <c r="FU43" t="s">
        <v>357</v>
      </c>
      <c r="FV43" t="s">
        <v>358</v>
      </c>
      <c r="FW43" t="s">
        <v>358</v>
      </c>
      <c r="FX43" t="s">
        <v>358</v>
      </c>
      <c r="FY43" t="s">
        <v>358</v>
      </c>
      <c r="FZ43">
        <v>0</v>
      </c>
      <c r="GA43">
        <v>100</v>
      </c>
      <c r="GB43">
        <v>100</v>
      </c>
      <c r="GC43">
        <v>2.098</v>
      </c>
      <c r="GD43">
        <v>0.083</v>
      </c>
      <c r="GE43">
        <v>2.450026129611729</v>
      </c>
      <c r="GF43">
        <v>-0.001033730503750798</v>
      </c>
      <c r="GG43">
        <v>9.120241388950126E-07</v>
      </c>
      <c r="GH43">
        <v>-2.246115299815222E-10</v>
      </c>
      <c r="GI43">
        <v>-0.03227126969192029</v>
      </c>
      <c r="GJ43">
        <v>-0.01814858093373864</v>
      </c>
      <c r="GK43">
        <v>0.002091959988359369</v>
      </c>
      <c r="GL43">
        <v>-1.90871700788604E-05</v>
      </c>
      <c r="GM43">
        <v>2</v>
      </c>
      <c r="GN43">
        <v>2210</v>
      </c>
      <c r="GO43">
        <v>1</v>
      </c>
      <c r="GP43">
        <v>26</v>
      </c>
      <c r="GQ43">
        <v>1.8</v>
      </c>
      <c r="GR43">
        <v>11.2</v>
      </c>
      <c r="GS43">
        <v>1.26343</v>
      </c>
      <c r="GT43">
        <v>2.37671</v>
      </c>
      <c r="GU43">
        <v>2.34741</v>
      </c>
      <c r="GV43">
        <v>2.75146</v>
      </c>
      <c r="GW43">
        <v>2.39868</v>
      </c>
      <c r="GX43">
        <v>2.25098</v>
      </c>
      <c r="GY43">
        <v>29.1766</v>
      </c>
      <c r="GZ43">
        <v>13.6855</v>
      </c>
      <c r="HA43">
        <v>18</v>
      </c>
      <c r="HB43">
        <v>622.5069999999999</v>
      </c>
      <c r="HC43">
        <v>661.032</v>
      </c>
      <c r="HD43">
        <v>21.928</v>
      </c>
      <c r="HE43">
        <v>20.7201</v>
      </c>
      <c r="HF43">
        <v>30.0003</v>
      </c>
      <c r="HG43">
        <v>20.5875</v>
      </c>
      <c r="HH43">
        <v>20.5398</v>
      </c>
      <c r="HI43">
        <v>25.3433</v>
      </c>
      <c r="HJ43">
        <v>26.1114</v>
      </c>
      <c r="HK43">
        <v>24.0342</v>
      </c>
      <c r="HL43">
        <v>-999.9</v>
      </c>
      <c r="HM43">
        <v>405</v>
      </c>
      <c r="HN43">
        <v>14.161</v>
      </c>
      <c r="HO43">
        <v>101.007</v>
      </c>
      <c r="HP43">
        <v>101.325</v>
      </c>
    </row>
    <row r="44" spans="1:224">
      <c r="A44">
        <v>28</v>
      </c>
      <c r="B44">
        <v>1750700291</v>
      </c>
      <c r="C44">
        <v>5427.900000095367</v>
      </c>
      <c r="D44" t="s">
        <v>437</v>
      </c>
      <c r="E44" t="s">
        <v>438</v>
      </c>
      <c r="F44">
        <v>15</v>
      </c>
      <c r="G44">
        <v>1750700283</v>
      </c>
      <c r="H44">
        <f>(I44)/1000</f>
        <v>0</v>
      </c>
      <c r="I44">
        <f>IF(BD44, AL44, AF44)</f>
        <v>0</v>
      </c>
      <c r="J44">
        <f>IF(BD44, AG44, AE44)</f>
        <v>0</v>
      </c>
      <c r="K44">
        <f>BF44 - IF(AS44&gt;1, J44*AZ44*100.0/(AU44), 0)</f>
        <v>0</v>
      </c>
      <c r="L44">
        <f>((R44-H44/2)*K44-J44)/(R44+H44/2)</f>
        <v>0</v>
      </c>
      <c r="M44">
        <f>L44*(BM44+BN44)/1000.0</f>
        <v>0</v>
      </c>
      <c r="N44">
        <f>(BF44 - IF(AS44&gt;1, J44*AZ44*100.0/(AU44), 0))*(BM44+BN44)/1000.0</f>
        <v>0</v>
      </c>
      <c r="O44">
        <f>2.0/((1/Q44-1/P44)+SIGN(Q44)*SQRT((1/Q44-1/P44)*(1/Q44-1/P44) + 4*BA44/((BA44+1)*(BA44+1))*(2*1/Q44*1/P44-1/P44*1/P44)))</f>
        <v>0</v>
      </c>
      <c r="P44">
        <f>IF(LEFT(BB44,1)&lt;&gt;"0",IF(LEFT(BB44,1)="1",3.0,BC44),$D$5+$E$5*(BT44*BM44/($K$5*1000))+$F$5*(BT44*BM44/($K$5*1000))*MAX(MIN(AZ44,$J$5),$I$5)*MAX(MIN(AZ44,$J$5),$I$5)+$G$5*MAX(MIN(AZ44,$J$5),$I$5)*(BT44*BM44/($K$5*1000))+$H$5*(BT44*BM44/($K$5*1000))*(BT44*BM44/($K$5*1000)))</f>
        <v>0</v>
      </c>
      <c r="Q44">
        <f>H44*(1000-(1000*0.61365*exp(17.502*U44/(240.97+U44))/(BM44+BN44)+BH44)/2)/(1000*0.61365*exp(17.502*U44/(240.97+U44))/(BM44+BN44)-BH44)</f>
        <v>0</v>
      </c>
      <c r="R44">
        <f>1/((BA44+1)/(O44/1.6)+1/(P44/1.37)) + BA44/((BA44+1)/(O44/1.6) + BA44/(P44/1.37))</f>
        <v>0</v>
      </c>
      <c r="S44">
        <f>(AV44*AY44)</f>
        <v>0</v>
      </c>
      <c r="T44">
        <f>(BO44+(S44+2*0.95*5.67E-8*(((BO44+$B$7)+273)^4-(BO44+273)^4)-44100*H44)/(1.84*29.3*P44+8*0.95*5.67E-8*(BO44+273)^3))</f>
        <v>0</v>
      </c>
      <c r="U44">
        <f>($C$7*BP44+$D$7*BQ44+$E$7*T44)</f>
        <v>0</v>
      </c>
      <c r="V44">
        <f>0.61365*exp(17.502*U44/(240.97+U44))</f>
        <v>0</v>
      </c>
      <c r="W44">
        <f>(X44/Y44*100)</f>
        <v>0</v>
      </c>
      <c r="X44">
        <f>BH44*(BM44+BN44)/1000</f>
        <v>0</v>
      </c>
      <c r="Y44">
        <f>0.61365*exp(17.502*BO44/(240.97+BO44))</f>
        <v>0</v>
      </c>
      <c r="Z44">
        <f>(V44-BH44*(BM44+BN44)/1000)</f>
        <v>0</v>
      </c>
      <c r="AA44">
        <f>(-H44*44100)</f>
        <v>0</v>
      </c>
      <c r="AB44">
        <f>2*29.3*P44*0.92*(BO44-U44)</f>
        <v>0</v>
      </c>
      <c r="AC44">
        <f>2*0.95*5.67E-8*(((BO44+$B$7)+273)^4-(U44+273)^4)</f>
        <v>0</v>
      </c>
      <c r="AD44">
        <f>S44+AC44+AA44+AB44</f>
        <v>0</v>
      </c>
      <c r="AE44">
        <f>BL44*AS44*(BG44-BF44*(1000-AS44*BI44)/(1000-AS44*BH44))/(100*AZ44)</f>
        <v>0</v>
      </c>
      <c r="AF44">
        <f>1000*BL44*AS44*(BH44-BI44)/(100*AZ44*(1000-AS44*BH44))</f>
        <v>0</v>
      </c>
      <c r="AG44">
        <f>(AH44 - AI44 - BM44*1E3/(8.314*(BO44+273.15)) * AK44/BL44 * AJ44) * BL44/(100*AZ44) * (1000 - BI44)/1000</f>
        <v>0</v>
      </c>
      <c r="AH44">
        <v>410.4554013682391</v>
      </c>
      <c r="AI44">
        <v>401.9272121212121</v>
      </c>
      <c r="AJ44">
        <v>-0.002775348278933542</v>
      </c>
      <c r="AK44">
        <v>66.95577841672963</v>
      </c>
      <c r="AL44">
        <f>(AN44 - AM44 + BM44*1E3/(8.314*(BO44+273.15)) * AP44/BL44 * AO44) * BL44/(100*AZ44) * 1000/(1000 - AN44)</f>
        <v>0</v>
      </c>
      <c r="AM44">
        <v>13.23444217178034</v>
      </c>
      <c r="AN44">
        <v>15.17240969696969</v>
      </c>
      <c r="AO44">
        <v>0.0006344498927551536</v>
      </c>
      <c r="AP44">
        <v>79.25225239050381</v>
      </c>
      <c r="AQ44">
        <v>272</v>
      </c>
      <c r="AR44">
        <v>34</v>
      </c>
      <c r="AS44">
        <f>IF(AQ44*$H$13&gt;=AU44,1.0,(AU44/(AU44-AQ44*$H$13)))</f>
        <v>0</v>
      </c>
      <c r="AT44">
        <f>(AS44-1)*100</f>
        <v>0</v>
      </c>
      <c r="AU44">
        <f>MAX(0,($B$13+$C$13*BT44)/(1+$D$13*BT44)*BM44/(BO44+273)*$E$13)</f>
        <v>0</v>
      </c>
      <c r="AV44">
        <f>$B$11*BU44+$C$11*BV44+$F$11*CG44*(1-CJ44)</f>
        <v>0</v>
      </c>
      <c r="AW44">
        <f>AV44*AX44</f>
        <v>0</v>
      </c>
      <c r="AX44">
        <f>($B$11*$D$9+$C$11*$D$9+$F$11*((CT44+CL44)/MAX(CT44+CL44+CU44, 0.1)*$I$9+CU44/MAX(CT44+CL44+CU44, 0.1)*$J$9))/($B$11+$C$11+$F$11)</f>
        <v>0</v>
      </c>
      <c r="AY44">
        <f>($B$11*$K$9+$C$11*$K$9+$F$11*((CT44+CL44)/MAX(CT44+CL44+CU44, 0.1)*$P$9+CU44/MAX(CT44+CL44+CU44, 0.1)*$Q$9))/($B$11+$C$11+$F$11)</f>
        <v>0</v>
      </c>
      <c r="AZ44">
        <v>6</v>
      </c>
      <c r="BA44">
        <v>0.5</v>
      </c>
      <c r="BB44" t="s">
        <v>353</v>
      </c>
      <c r="BC44">
        <v>2</v>
      </c>
      <c r="BD44" t="b">
        <v>0</v>
      </c>
      <c r="BE44">
        <v>1750700283</v>
      </c>
      <c r="BF44">
        <v>395.8859677419355</v>
      </c>
      <c r="BG44">
        <v>404.987</v>
      </c>
      <c r="BH44">
        <v>15.1454064516129</v>
      </c>
      <c r="BI44">
        <v>13.19292903225806</v>
      </c>
      <c r="BJ44">
        <v>393.7479677419355</v>
      </c>
      <c r="BK44">
        <v>15.03344193548387</v>
      </c>
      <c r="BL44">
        <v>800.0189677419354</v>
      </c>
      <c r="BM44">
        <v>101.446</v>
      </c>
      <c r="BN44">
        <v>0.1000262419354839</v>
      </c>
      <c r="BO44">
        <v>23.00426129032258</v>
      </c>
      <c r="BP44">
        <v>22.44035161290323</v>
      </c>
      <c r="BQ44">
        <v>999.9000000000003</v>
      </c>
      <c r="BR44">
        <v>0</v>
      </c>
      <c r="BS44">
        <v>0</v>
      </c>
      <c r="BT44">
        <v>10010.44483870968</v>
      </c>
      <c r="BU44">
        <v>0</v>
      </c>
      <c r="BV44">
        <v>0.00152894</v>
      </c>
      <c r="BW44">
        <v>-9.136721612903226</v>
      </c>
      <c r="BX44">
        <v>401.9377096774193</v>
      </c>
      <c r="BY44">
        <v>410.4012580645161</v>
      </c>
      <c r="BZ44">
        <v>1.952473548387097</v>
      </c>
      <c r="CA44">
        <v>404.987</v>
      </c>
      <c r="CB44">
        <v>13.19292903225806</v>
      </c>
      <c r="CC44">
        <v>1.536438709677419</v>
      </c>
      <c r="CD44">
        <v>1.338369032258065</v>
      </c>
      <c r="CE44">
        <v>13.33569677419355</v>
      </c>
      <c r="CF44">
        <v>11.23677419354839</v>
      </c>
      <c r="CG44">
        <v>999.9880322580644</v>
      </c>
      <c r="CH44">
        <v>0.9600104516129033</v>
      </c>
      <c r="CI44">
        <v>0.03998952580645161</v>
      </c>
      <c r="CJ44">
        <v>0</v>
      </c>
      <c r="CK44">
        <v>1.981774193548387</v>
      </c>
      <c r="CL44">
        <v>0</v>
      </c>
      <c r="CM44">
        <v>9512.32935483871</v>
      </c>
      <c r="CN44">
        <v>7946.856774193549</v>
      </c>
      <c r="CO44">
        <v>38.95732258064516</v>
      </c>
      <c r="CP44">
        <v>41.71951612903225</v>
      </c>
      <c r="CQ44">
        <v>40.24383870967741</v>
      </c>
      <c r="CR44">
        <v>41.79006451612901</v>
      </c>
      <c r="CS44">
        <v>38.82825806451613</v>
      </c>
      <c r="CT44">
        <v>959.998064516129</v>
      </c>
      <c r="CU44">
        <v>39.98935483870968</v>
      </c>
      <c r="CV44">
        <v>0</v>
      </c>
      <c r="CW44">
        <v>1750700307.8</v>
      </c>
      <c r="CX44">
        <v>0</v>
      </c>
      <c r="CY44">
        <v>1750700308</v>
      </c>
      <c r="CZ44" t="s">
        <v>439</v>
      </c>
      <c r="DA44">
        <v>1750700308</v>
      </c>
      <c r="DB44">
        <v>1750700175</v>
      </c>
      <c r="DC44">
        <v>26</v>
      </c>
      <c r="DD44">
        <v>0.04</v>
      </c>
      <c r="DE44">
        <v>0.008999999999999999</v>
      </c>
      <c r="DF44">
        <v>2.138</v>
      </c>
      <c r="DG44">
        <v>0.083</v>
      </c>
      <c r="DH44">
        <v>405</v>
      </c>
      <c r="DI44">
        <v>14</v>
      </c>
      <c r="DJ44">
        <v>0.19</v>
      </c>
      <c r="DK44">
        <v>0.06</v>
      </c>
      <c r="DL44">
        <v>-9.125649512195123</v>
      </c>
      <c r="DM44">
        <v>-0.1400698954703757</v>
      </c>
      <c r="DN44">
        <v>0.02612178550196806</v>
      </c>
      <c r="DO44">
        <v>0</v>
      </c>
      <c r="DP44">
        <v>1.96976243902439</v>
      </c>
      <c r="DQ44">
        <v>-0.3002362369337953</v>
      </c>
      <c r="DR44">
        <v>0.03296886711625388</v>
      </c>
      <c r="DS44">
        <v>0</v>
      </c>
      <c r="DT44">
        <v>0</v>
      </c>
      <c r="DU44">
        <v>2</v>
      </c>
      <c r="DV44" t="s">
        <v>372</v>
      </c>
      <c r="DW44">
        <v>3.44734</v>
      </c>
      <c r="DX44">
        <v>2.78062</v>
      </c>
      <c r="DY44">
        <v>0.096571</v>
      </c>
      <c r="DZ44">
        <v>0.098605</v>
      </c>
      <c r="EA44">
        <v>0.08663460000000001</v>
      </c>
      <c r="EB44">
        <v>0.07818</v>
      </c>
      <c r="EC44">
        <v>27367.2</v>
      </c>
      <c r="ED44">
        <v>31066.9</v>
      </c>
      <c r="EE44">
        <v>29413.3</v>
      </c>
      <c r="EF44">
        <v>35041.1</v>
      </c>
      <c r="EG44">
        <v>31069.5</v>
      </c>
      <c r="EH44">
        <v>40120.8</v>
      </c>
      <c r="EI44">
        <v>36211.9</v>
      </c>
      <c r="EJ44">
        <v>46412.1</v>
      </c>
      <c r="EK44">
        <v>2.10403</v>
      </c>
      <c r="EL44">
        <v>2.30242</v>
      </c>
      <c r="EM44">
        <v>0.09673089999999999</v>
      </c>
      <c r="EN44">
        <v>0</v>
      </c>
      <c r="EO44">
        <v>20.8619</v>
      </c>
      <c r="EP44">
        <v>999.9</v>
      </c>
      <c r="EQ44">
        <v>58.9</v>
      </c>
      <c r="ER44">
        <v>24.7</v>
      </c>
      <c r="ES44">
        <v>18.1341</v>
      </c>
      <c r="ET44">
        <v>61.8773</v>
      </c>
      <c r="EU44">
        <v>26.5905</v>
      </c>
      <c r="EV44">
        <v>2</v>
      </c>
      <c r="EW44">
        <v>-0.500447</v>
      </c>
      <c r="EX44">
        <v>0</v>
      </c>
      <c r="EY44">
        <v>20.2946</v>
      </c>
      <c r="EZ44">
        <v>5.2122</v>
      </c>
      <c r="FA44">
        <v>11.968</v>
      </c>
      <c r="FB44">
        <v>4.99175</v>
      </c>
      <c r="FC44">
        <v>3.272</v>
      </c>
      <c r="FD44">
        <v>2794.3</v>
      </c>
      <c r="FE44">
        <v>9999</v>
      </c>
      <c r="FF44">
        <v>9999</v>
      </c>
      <c r="FG44">
        <v>999.9</v>
      </c>
      <c r="FH44">
        <v>4.97259</v>
      </c>
      <c r="FI44">
        <v>1.86249</v>
      </c>
      <c r="FJ44">
        <v>1.86429</v>
      </c>
      <c r="FK44">
        <v>1.86264</v>
      </c>
      <c r="FL44">
        <v>1.86271</v>
      </c>
      <c r="FM44">
        <v>1.86326</v>
      </c>
      <c r="FN44">
        <v>1.85975</v>
      </c>
      <c r="FO44">
        <v>1.86264</v>
      </c>
      <c r="FP44">
        <v>0</v>
      </c>
      <c r="FQ44">
        <v>0</v>
      </c>
      <c r="FR44">
        <v>0</v>
      </c>
      <c r="FS44">
        <v>0</v>
      </c>
      <c r="FT44" t="s">
        <v>356</v>
      </c>
      <c r="FU44" t="s">
        <v>357</v>
      </c>
      <c r="FV44" t="s">
        <v>358</v>
      </c>
      <c r="FW44" t="s">
        <v>358</v>
      </c>
      <c r="FX44" t="s">
        <v>358</v>
      </c>
      <c r="FY44" t="s">
        <v>358</v>
      </c>
      <c r="FZ44">
        <v>0</v>
      </c>
      <c r="GA44">
        <v>100</v>
      </c>
      <c r="GB44">
        <v>100</v>
      </c>
      <c r="GC44">
        <v>2.138</v>
      </c>
      <c r="GD44">
        <v>0.1128</v>
      </c>
      <c r="GE44">
        <v>2.381631824218067</v>
      </c>
      <c r="GF44">
        <v>-0.001033730503750798</v>
      </c>
      <c r="GG44">
        <v>9.120241388950126E-07</v>
      </c>
      <c r="GH44">
        <v>-2.246115299815222E-10</v>
      </c>
      <c r="GI44">
        <v>-0.02314842434799434</v>
      </c>
      <c r="GJ44">
        <v>-0.01814858093373864</v>
      </c>
      <c r="GK44">
        <v>0.002091959988359369</v>
      </c>
      <c r="GL44">
        <v>-1.90871700788604E-05</v>
      </c>
      <c r="GM44">
        <v>2</v>
      </c>
      <c r="GN44">
        <v>2210</v>
      </c>
      <c r="GO44">
        <v>1</v>
      </c>
      <c r="GP44">
        <v>26</v>
      </c>
      <c r="GQ44">
        <v>1.9</v>
      </c>
      <c r="GR44">
        <v>1.9</v>
      </c>
      <c r="GS44">
        <v>1.26343</v>
      </c>
      <c r="GT44">
        <v>2.37915</v>
      </c>
      <c r="GU44">
        <v>2.34741</v>
      </c>
      <c r="GV44">
        <v>2.75146</v>
      </c>
      <c r="GW44">
        <v>2.39868</v>
      </c>
      <c r="GX44">
        <v>2.27539</v>
      </c>
      <c r="GY44">
        <v>29.2402</v>
      </c>
      <c r="GZ44">
        <v>13.6592</v>
      </c>
      <c r="HA44">
        <v>18</v>
      </c>
      <c r="HB44">
        <v>485.86</v>
      </c>
      <c r="HC44">
        <v>659.413</v>
      </c>
      <c r="HD44">
        <v>21.9667</v>
      </c>
      <c r="HE44">
        <v>20.8023</v>
      </c>
      <c r="HF44">
        <v>30.0001</v>
      </c>
      <c r="HG44">
        <v>20.6639</v>
      </c>
      <c r="HH44">
        <v>20.6066</v>
      </c>
      <c r="HI44">
        <v>25.329</v>
      </c>
      <c r="HJ44">
        <v>30.247</v>
      </c>
      <c r="HK44">
        <v>22.5309</v>
      </c>
      <c r="HL44">
        <v>-999.9</v>
      </c>
      <c r="HM44">
        <v>405</v>
      </c>
      <c r="HN44">
        <v>13.2726</v>
      </c>
      <c r="HO44">
        <v>100.995</v>
      </c>
      <c r="HP44">
        <v>101.315</v>
      </c>
    </row>
    <row r="45" spans="1:224">
      <c r="A45">
        <v>29</v>
      </c>
      <c r="B45">
        <v>1750700431</v>
      </c>
      <c r="C45">
        <v>5567.900000095367</v>
      </c>
      <c r="D45" t="s">
        <v>440</v>
      </c>
      <c r="E45" t="s">
        <v>441</v>
      </c>
      <c r="F45">
        <v>15</v>
      </c>
      <c r="G45">
        <v>1750700423</v>
      </c>
      <c r="H45">
        <f>(I45)/1000</f>
        <v>0</v>
      </c>
      <c r="I45">
        <f>IF(BD45, AL45, AF45)</f>
        <v>0</v>
      </c>
      <c r="J45">
        <f>IF(BD45, AG45, AE45)</f>
        <v>0</v>
      </c>
      <c r="K45">
        <f>BF45 - IF(AS45&gt;1, J45*AZ45*100.0/(AU45), 0)</f>
        <v>0</v>
      </c>
      <c r="L45">
        <f>((R45-H45/2)*K45-J45)/(R45+H45/2)</f>
        <v>0</v>
      </c>
      <c r="M45">
        <f>L45*(BM45+BN45)/1000.0</f>
        <v>0</v>
      </c>
      <c r="N45">
        <f>(BF45 - IF(AS45&gt;1, J45*AZ45*100.0/(AU45), 0))*(BM45+BN45)/1000.0</f>
        <v>0</v>
      </c>
      <c r="O45">
        <f>2.0/((1/Q45-1/P45)+SIGN(Q45)*SQRT((1/Q45-1/P45)*(1/Q45-1/P45) + 4*BA45/((BA45+1)*(BA45+1))*(2*1/Q45*1/P45-1/P45*1/P45)))</f>
        <v>0</v>
      </c>
      <c r="P45">
        <f>IF(LEFT(BB45,1)&lt;&gt;"0",IF(LEFT(BB45,1)="1",3.0,BC45),$D$5+$E$5*(BT45*BM45/($K$5*1000))+$F$5*(BT45*BM45/($K$5*1000))*MAX(MIN(AZ45,$J$5),$I$5)*MAX(MIN(AZ45,$J$5),$I$5)+$G$5*MAX(MIN(AZ45,$J$5),$I$5)*(BT45*BM45/($K$5*1000))+$H$5*(BT45*BM45/($K$5*1000))*(BT45*BM45/($K$5*1000)))</f>
        <v>0</v>
      </c>
      <c r="Q45">
        <f>H45*(1000-(1000*0.61365*exp(17.502*U45/(240.97+U45))/(BM45+BN45)+BH45)/2)/(1000*0.61365*exp(17.502*U45/(240.97+U45))/(BM45+BN45)-BH45)</f>
        <v>0</v>
      </c>
      <c r="R45">
        <f>1/((BA45+1)/(O45/1.6)+1/(P45/1.37)) + BA45/((BA45+1)/(O45/1.6) + BA45/(P45/1.37))</f>
        <v>0</v>
      </c>
      <c r="S45">
        <f>(AV45*AY45)</f>
        <v>0</v>
      </c>
      <c r="T45">
        <f>(BO45+(S45+2*0.95*5.67E-8*(((BO45+$B$7)+273)^4-(BO45+273)^4)-44100*H45)/(1.84*29.3*P45+8*0.95*5.67E-8*(BO45+273)^3))</f>
        <v>0</v>
      </c>
      <c r="U45">
        <f>($C$7*BP45+$D$7*BQ45+$E$7*T45)</f>
        <v>0</v>
      </c>
      <c r="V45">
        <f>0.61365*exp(17.502*U45/(240.97+U45))</f>
        <v>0</v>
      </c>
      <c r="W45">
        <f>(X45/Y45*100)</f>
        <v>0</v>
      </c>
      <c r="X45">
        <f>BH45*(BM45+BN45)/1000</f>
        <v>0</v>
      </c>
      <c r="Y45">
        <f>0.61365*exp(17.502*BO45/(240.97+BO45))</f>
        <v>0</v>
      </c>
      <c r="Z45">
        <f>(V45-BH45*(BM45+BN45)/1000)</f>
        <v>0</v>
      </c>
      <c r="AA45">
        <f>(-H45*44100)</f>
        <v>0</v>
      </c>
      <c r="AB45">
        <f>2*29.3*P45*0.92*(BO45-U45)</f>
        <v>0</v>
      </c>
      <c r="AC45">
        <f>2*0.95*5.67E-8*(((BO45+$B$7)+273)^4-(U45+273)^4)</f>
        <v>0</v>
      </c>
      <c r="AD45">
        <f>S45+AC45+AA45+AB45</f>
        <v>0</v>
      </c>
      <c r="AE45">
        <f>BL45*AS45*(BG45-BF45*(1000-AS45*BI45)/(1000-AS45*BH45))/(100*AZ45)</f>
        <v>0</v>
      </c>
      <c r="AF45">
        <f>1000*BL45*AS45*(BH45-BI45)/(100*AZ45*(1000-AS45*BH45))</f>
        <v>0</v>
      </c>
      <c r="AG45">
        <f>(AH45 - AI45 - BM45*1E3/(8.314*(BO45+273.15)) * AK45/BL45 * AJ45) * BL45/(100*AZ45) * (1000 - BI45)/1000</f>
        <v>0</v>
      </c>
      <c r="AH45">
        <v>411.0286704611799</v>
      </c>
      <c r="AI45">
        <v>408.6312424242424</v>
      </c>
      <c r="AJ45">
        <v>-0.000678695811569118</v>
      </c>
      <c r="AK45">
        <v>66.95698548692016</v>
      </c>
      <c r="AL45">
        <f>(AN45 - AM45 + BM45*1E3/(8.314*(BO45+273.15)) * AP45/BL45 * AO45) * BL45/(100*AZ45) * 1000/(1000 - AN45)</f>
        <v>0</v>
      </c>
      <c r="AM45">
        <v>14.6997001700582</v>
      </c>
      <c r="AN45">
        <v>15.24835575757575</v>
      </c>
      <c r="AO45">
        <v>0.003895166356378756</v>
      </c>
      <c r="AP45">
        <v>79.22879735773266</v>
      </c>
      <c r="AQ45">
        <v>317</v>
      </c>
      <c r="AR45">
        <v>40</v>
      </c>
      <c r="AS45">
        <f>IF(AQ45*$H$13&gt;=AU45,1.0,(AU45/(AU45-AQ45*$H$13)))</f>
        <v>0</v>
      </c>
      <c r="AT45">
        <f>(AS45-1)*100</f>
        <v>0</v>
      </c>
      <c r="AU45">
        <f>MAX(0,($B$13+$C$13*BT45)/(1+$D$13*BT45)*BM45/(BO45+273)*$E$13)</f>
        <v>0</v>
      </c>
      <c r="AV45">
        <f>$B$11*BU45+$C$11*BV45+$F$11*CG45*(1-CJ45)</f>
        <v>0</v>
      </c>
      <c r="AW45">
        <f>AV45*AX45</f>
        <v>0</v>
      </c>
      <c r="AX45">
        <f>($B$11*$D$9+$C$11*$D$9+$F$11*((CT45+CL45)/MAX(CT45+CL45+CU45, 0.1)*$I$9+CU45/MAX(CT45+CL45+CU45, 0.1)*$J$9))/($B$11+$C$11+$F$11)</f>
        <v>0</v>
      </c>
      <c r="AY45">
        <f>($B$11*$K$9+$C$11*$K$9+$F$11*((CT45+CL45)/MAX(CT45+CL45+CU45, 0.1)*$P$9+CU45/MAX(CT45+CL45+CU45, 0.1)*$Q$9))/($B$11+$C$11+$F$11)</f>
        <v>0</v>
      </c>
      <c r="AZ45">
        <v>6</v>
      </c>
      <c r="BA45">
        <v>0.5</v>
      </c>
      <c r="BB45" t="s">
        <v>353</v>
      </c>
      <c r="BC45">
        <v>2</v>
      </c>
      <c r="BD45" t="b">
        <v>0</v>
      </c>
      <c r="BE45">
        <v>1750700423</v>
      </c>
      <c r="BF45">
        <v>402.3949032258064</v>
      </c>
      <c r="BG45">
        <v>404.9968064516129</v>
      </c>
      <c r="BH45">
        <v>15.18088387096774</v>
      </c>
      <c r="BI45">
        <v>14.69036774193548</v>
      </c>
      <c r="BJ45">
        <v>400.2699032258064</v>
      </c>
      <c r="BK45">
        <v>15.07888387096774</v>
      </c>
      <c r="BL45">
        <v>799.9853870967742</v>
      </c>
      <c r="BM45">
        <v>101.4517419354839</v>
      </c>
      <c r="BN45">
        <v>0.1000297258064516</v>
      </c>
      <c r="BO45">
        <v>23.02168064516129</v>
      </c>
      <c r="BP45">
        <v>22.81605161290322</v>
      </c>
      <c r="BQ45">
        <v>999.9000000000003</v>
      </c>
      <c r="BR45">
        <v>0</v>
      </c>
      <c r="BS45">
        <v>0</v>
      </c>
      <c r="BT45">
        <v>10006.40709677419</v>
      </c>
      <c r="BU45">
        <v>0</v>
      </c>
      <c r="BV45">
        <v>0.00152894</v>
      </c>
      <c r="BW45">
        <v>-2.587444838709676</v>
      </c>
      <c r="BX45">
        <v>408.6171935483871</v>
      </c>
      <c r="BY45">
        <v>411.035064516129</v>
      </c>
      <c r="BZ45">
        <v>0.5019270322580646</v>
      </c>
      <c r="CA45">
        <v>404.9968064516129</v>
      </c>
      <c r="CB45">
        <v>14.69036774193548</v>
      </c>
      <c r="CC45">
        <v>1.541283870967742</v>
      </c>
      <c r="CD45">
        <v>1.490362903225807</v>
      </c>
      <c r="CE45">
        <v>13.38391935483871</v>
      </c>
      <c r="CF45">
        <v>12.86964838709678</v>
      </c>
      <c r="CG45">
        <v>1000.011129032258</v>
      </c>
      <c r="CH45">
        <v>0.9600003548387094</v>
      </c>
      <c r="CI45">
        <v>0.03999976774193548</v>
      </c>
      <c r="CJ45">
        <v>0</v>
      </c>
      <c r="CK45">
        <v>1.579516129032258</v>
      </c>
      <c r="CL45">
        <v>0</v>
      </c>
      <c r="CM45">
        <v>3847.650322580646</v>
      </c>
      <c r="CN45">
        <v>7947.002903225805</v>
      </c>
      <c r="CO45">
        <v>36.10664516129032</v>
      </c>
      <c r="CP45">
        <v>38.07638709677418</v>
      </c>
      <c r="CQ45">
        <v>37.45545161290322</v>
      </c>
      <c r="CR45">
        <v>37.157</v>
      </c>
      <c r="CS45">
        <v>36.20945161290322</v>
      </c>
      <c r="CT45">
        <v>960.0103225806449</v>
      </c>
      <c r="CU45">
        <v>40</v>
      </c>
      <c r="CV45">
        <v>0</v>
      </c>
      <c r="CW45">
        <v>1750700448.2</v>
      </c>
      <c r="CX45">
        <v>0</v>
      </c>
      <c r="CY45">
        <v>1750700448</v>
      </c>
      <c r="CZ45" t="s">
        <v>442</v>
      </c>
      <c r="DA45">
        <v>1750700447.5</v>
      </c>
      <c r="DB45">
        <v>1750700448</v>
      </c>
      <c r="DC45">
        <v>27</v>
      </c>
      <c r="DD45">
        <v>-0.014</v>
      </c>
      <c r="DE45">
        <v>0.003</v>
      </c>
      <c r="DF45">
        <v>2.125</v>
      </c>
      <c r="DG45">
        <v>0.102</v>
      </c>
      <c r="DH45">
        <v>405</v>
      </c>
      <c r="DI45">
        <v>15</v>
      </c>
      <c r="DJ45">
        <v>0.26</v>
      </c>
      <c r="DK45">
        <v>0.14</v>
      </c>
      <c r="DL45">
        <v>-2.58064925</v>
      </c>
      <c r="DM45">
        <v>-0.1365018011257047</v>
      </c>
      <c r="DN45">
        <v>0.02654802105501462</v>
      </c>
      <c r="DO45">
        <v>0</v>
      </c>
      <c r="DP45">
        <v>0.4637304249999999</v>
      </c>
      <c r="DQ45">
        <v>0.7892280562851779</v>
      </c>
      <c r="DR45">
        <v>0.08164088176853784</v>
      </c>
      <c r="DS45">
        <v>0</v>
      </c>
      <c r="DT45">
        <v>0</v>
      </c>
      <c r="DU45">
        <v>2</v>
      </c>
      <c r="DV45" t="s">
        <v>372</v>
      </c>
      <c r="DW45">
        <v>3.44788</v>
      </c>
      <c r="DX45">
        <v>2.78109</v>
      </c>
      <c r="DY45">
        <v>0.0977799</v>
      </c>
      <c r="DZ45">
        <v>0.0985994</v>
      </c>
      <c r="EA45">
        <v>0.0869398</v>
      </c>
      <c r="EB45">
        <v>0.0844017</v>
      </c>
      <c r="EC45">
        <v>27327.6</v>
      </c>
      <c r="ED45">
        <v>31064.3</v>
      </c>
      <c r="EE45">
        <v>29410.2</v>
      </c>
      <c r="EF45">
        <v>35038.1</v>
      </c>
      <c r="EG45">
        <v>31055.9</v>
      </c>
      <c r="EH45">
        <v>39845.3</v>
      </c>
      <c r="EI45">
        <v>36208.3</v>
      </c>
      <c r="EJ45">
        <v>46407.5</v>
      </c>
      <c r="EK45">
        <v>2.0143</v>
      </c>
      <c r="EL45">
        <v>2.30373</v>
      </c>
      <c r="EM45">
        <v>0.112496</v>
      </c>
      <c r="EN45">
        <v>0</v>
      </c>
      <c r="EO45">
        <v>20.9883</v>
      </c>
      <c r="EP45">
        <v>999.9</v>
      </c>
      <c r="EQ45">
        <v>58.6</v>
      </c>
      <c r="ER45">
        <v>24.8</v>
      </c>
      <c r="ES45">
        <v>18.147</v>
      </c>
      <c r="ET45">
        <v>61.9173</v>
      </c>
      <c r="EU45">
        <v>26.6627</v>
      </c>
      <c r="EV45">
        <v>2</v>
      </c>
      <c r="EW45">
        <v>-0.495897</v>
      </c>
      <c r="EX45">
        <v>0</v>
      </c>
      <c r="EY45">
        <v>20.2936</v>
      </c>
      <c r="EZ45">
        <v>5.21145</v>
      </c>
      <c r="FA45">
        <v>11.9682</v>
      </c>
      <c r="FB45">
        <v>4.9907</v>
      </c>
      <c r="FC45">
        <v>3.2712</v>
      </c>
      <c r="FD45">
        <v>2798.9</v>
      </c>
      <c r="FE45">
        <v>9999</v>
      </c>
      <c r="FF45">
        <v>9999</v>
      </c>
      <c r="FG45">
        <v>999.9</v>
      </c>
      <c r="FH45">
        <v>4.97259</v>
      </c>
      <c r="FI45">
        <v>1.86249</v>
      </c>
      <c r="FJ45">
        <v>1.86429</v>
      </c>
      <c r="FK45">
        <v>1.86266</v>
      </c>
      <c r="FL45">
        <v>1.86278</v>
      </c>
      <c r="FM45">
        <v>1.86326</v>
      </c>
      <c r="FN45">
        <v>1.85978</v>
      </c>
      <c r="FO45">
        <v>1.86264</v>
      </c>
      <c r="FP45">
        <v>0</v>
      </c>
      <c r="FQ45">
        <v>0</v>
      </c>
      <c r="FR45">
        <v>0</v>
      </c>
      <c r="FS45">
        <v>0</v>
      </c>
      <c r="FT45" t="s">
        <v>356</v>
      </c>
      <c r="FU45" t="s">
        <v>357</v>
      </c>
      <c r="FV45" t="s">
        <v>358</v>
      </c>
      <c r="FW45" t="s">
        <v>358</v>
      </c>
      <c r="FX45" t="s">
        <v>358</v>
      </c>
      <c r="FY45" t="s">
        <v>358</v>
      </c>
      <c r="FZ45">
        <v>0</v>
      </c>
      <c r="GA45">
        <v>100</v>
      </c>
      <c r="GB45">
        <v>100</v>
      </c>
      <c r="GC45">
        <v>2.125</v>
      </c>
      <c r="GD45">
        <v>0.102</v>
      </c>
      <c r="GE45">
        <v>2.421441865712294</v>
      </c>
      <c r="GF45">
        <v>-0.001033730503750798</v>
      </c>
      <c r="GG45">
        <v>9.120241388950126E-07</v>
      </c>
      <c r="GH45">
        <v>-2.246115299815222E-10</v>
      </c>
      <c r="GI45">
        <v>-0.02314842434799434</v>
      </c>
      <c r="GJ45">
        <v>-0.01814858093373864</v>
      </c>
      <c r="GK45">
        <v>0.002091959988359369</v>
      </c>
      <c r="GL45">
        <v>-1.90871700788604E-05</v>
      </c>
      <c r="GM45">
        <v>2</v>
      </c>
      <c r="GN45">
        <v>2210</v>
      </c>
      <c r="GO45">
        <v>1</v>
      </c>
      <c r="GP45">
        <v>26</v>
      </c>
      <c r="GQ45">
        <v>2</v>
      </c>
      <c r="GR45">
        <v>4.3</v>
      </c>
      <c r="GS45">
        <v>1.26465</v>
      </c>
      <c r="GT45">
        <v>2.38037</v>
      </c>
      <c r="GU45">
        <v>2.34863</v>
      </c>
      <c r="GV45">
        <v>2.75146</v>
      </c>
      <c r="GW45">
        <v>2.39868</v>
      </c>
      <c r="GX45">
        <v>2.2583</v>
      </c>
      <c r="GY45">
        <v>29.2614</v>
      </c>
      <c r="GZ45">
        <v>13.6329</v>
      </c>
      <c r="HA45">
        <v>18</v>
      </c>
      <c r="HB45">
        <v>438.38</v>
      </c>
      <c r="HC45">
        <v>661.36</v>
      </c>
      <c r="HD45">
        <v>22.0157</v>
      </c>
      <c r="HE45">
        <v>20.8688</v>
      </c>
      <c r="HF45">
        <v>30.0003</v>
      </c>
      <c r="HG45">
        <v>20.7331</v>
      </c>
      <c r="HH45">
        <v>20.6737</v>
      </c>
      <c r="HI45">
        <v>25.3573</v>
      </c>
      <c r="HJ45">
        <v>23.288</v>
      </c>
      <c r="HK45">
        <v>21.7871</v>
      </c>
      <c r="HL45">
        <v>-999.9</v>
      </c>
      <c r="HM45">
        <v>405</v>
      </c>
      <c r="HN45">
        <v>14.6647</v>
      </c>
      <c r="HO45">
        <v>100.985</v>
      </c>
      <c r="HP45">
        <v>101.305</v>
      </c>
    </row>
    <row r="46" spans="1:224">
      <c r="A46">
        <v>30</v>
      </c>
      <c r="B46">
        <v>1750700556</v>
      </c>
      <c r="C46">
        <v>5692.900000095367</v>
      </c>
      <c r="D46" t="s">
        <v>443</v>
      </c>
      <c r="E46" t="s">
        <v>444</v>
      </c>
      <c r="F46">
        <v>15</v>
      </c>
      <c r="G46">
        <v>1750700548</v>
      </c>
      <c r="H46">
        <f>(I46)/1000</f>
        <v>0</v>
      </c>
      <c r="I46">
        <f>IF(BD46, AL46, AF46)</f>
        <v>0</v>
      </c>
      <c r="J46">
        <f>IF(BD46, AG46, AE46)</f>
        <v>0</v>
      </c>
      <c r="K46">
        <f>BF46 - IF(AS46&gt;1, J46*AZ46*100.0/(AU46), 0)</f>
        <v>0</v>
      </c>
      <c r="L46">
        <f>((R46-H46/2)*K46-J46)/(R46+H46/2)</f>
        <v>0</v>
      </c>
      <c r="M46">
        <f>L46*(BM46+BN46)/1000.0</f>
        <v>0</v>
      </c>
      <c r="N46">
        <f>(BF46 - IF(AS46&gt;1, J46*AZ46*100.0/(AU46), 0))*(BM46+BN46)/1000.0</f>
        <v>0</v>
      </c>
      <c r="O46">
        <f>2.0/((1/Q46-1/P46)+SIGN(Q46)*SQRT((1/Q46-1/P46)*(1/Q46-1/P46) + 4*BA46/((BA46+1)*(BA46+1))*(2*1/Q46*1/P46-1/P46*1/P46)))</f>
        <v>0</v>
      </c>
      <c r="P46">
        <f>IF(LEFT(BB46,1)&lt;&gt;"0",IF(LEFT(BB46,1)="1",3.0,BC46),$D$5+$E$5*(BT46*BM46/($K$5*1000))+$F$5*(BT46*BM46/($K$5*1000))*MAX(MIN(AZ46,$J$5),$I$5)*MAX(MIN(AZ46,$J$5),$I$5)+$G$5*MAX(MIN(AZ46,$J$5),$I$5)*(BT46*BM46/($K$5*1000))+$H$5*(BT46*BM46/($K$5*1000))*(BT46*BM46/($K$5*1000)))</f>
        <v>0</v>
      </c>
      <c r="Q46">
        <f>H46*(1000-(1000*0.61365*exp(17.502*U46/(240.97+U46))/(BM46+BN46)+BH46)/2)/(1000*0.61365*exp(17.502*U46/(240.97+U46))/(BM46+BN46)-BH46)</f>
        <v>0</v>
      </c>
      <c r="R46">
        <f>1/((BA46+1)/(O46/1.6)+1/(P46/1.37)) + BA46/((BA46+1)/(O46/1.6) + BA46/(P46/1.37))</f>
        <v>0</v>
      </c>
      <c r="S46">
        <f>(AV46*AY46)</f>
        <v>0</v>
      </c>
      <c r="T46">
        <f>(BO46+(S46+2*0.95*5.67E-8*(((BO46+$B$7)+273)^4-(BO46+273)^4)-44100*H46)/(1.84*29.3*P46+8*0.95*5.67E-8*(BO46+273)^3))</f>
        <v>0</v>
      </c>
      <c r="U46">
        <f>($C$7*BP46+$D$7*BQ46+$E$7*T46)</f>
        <v>0</v>
      </c>
      <c r="V46">
        <f>0.61365*exp(17.502*U46/(240.97+U46))</f>
        <v>0</v>
      </c>
      <c r="W46">
        <f>(X46/Y46*100)</f>
        <v>0</v>
      </c>
      <c r="X46">
        <f>BH46*(BM46+BN46)/1000</f>
        <v>0</v>
      </c>
      <c r="Y46">
        <f>0.61365*exp(17.502*BO46/(240.97+BO46))</f>
        <v>0</v>
      </c>
      <c r="Z46">
        <f>(V46-BH46*(BM46+BN46)/1000)</f>
        <v>0</v>
      </c>
      <c r="AA46">
        <f>(-H46*44100)</f>
        <v>0</v>
      </c>
      <c r="AB46">
        <f>2*29.3*P46*0.92*(BO46-U46)</f>
        <v>0</v>
      </c>
      <c r="AC46">
        <f>2*0.95*5.67E-8*(((BO46+$B$7)+273)^4-(U46+273)^4)</f>
        <v>0</v>
      </c>
      <c r="AD46">
        <f>S46+AC46+AA46+AB46</f>
        <v>0</v>
      </c>
      <c r="AE46">
        <f>BL46*AS46*(BG46-BF46*(1000-AS46*BI46)/(1000-AS46*BH46))/(100*AZ46)</f>
        <v>0</v>
      </c>
      <c r="AF46">
        <f>1000*BL46*AS46*(BH46-BI46)/(100*AZ46*(1000-AS46*BH46))</f>
        <v>0</v>
      </c>
      <c r="AG46">
        <f>(AH46 - AI46 - BM46*1E3/(8.314*(BO46+273.15)) * AK46/BL46 * AJ46) * BL46/(100*AZ46) * (1000 - BI46)/1000</f>
        <v>0</v>
      </c>
      <c r="AH46">
        <v>410.885513922904</v>
      </c>
      <c r="AI46">
        <v>406.771103030303</v>
      </c>
      <c r="AJ46">
        <v>-0.0005879873466449142</v>
      </c>
      <c r="AK46">
        <v>66.9577625192736</v>
      </c>
      <c r="AL46">
        <f>(AN46 - AM46 + BM46*1E3/(8.314*(BO46+273.15)) * AP46/BL46 * AO46) * BL46/(100*AZ46) * 1000/(1000 - AN46)</f>
        <v>0</v>
      </c>
      <c r="AM46">
        <v>14.30840316477816</v>
      </c>
      <c r="AN46">
        <v>15.1784806060606</v>
      </c>
      <c r="AO46">
        <v>-0.0004646631192834204</v>
      </c>
      <c r="AP46">
        <v>79.21933826912678</v>
      </c>
      <c r="AQ46">
        <v>259</v>
      </c>
      <c r="AR46">
        <v>32</v>
      </c>
      <c r="AS46">
        <f>IF(AQ46*$H$13&gt;=AU46,1.0,(AU46/(AU46-AQ46*$H$13)))</f>
        <v>0</v>
      </c>
      <c r="AT46">
        <f>(AS46-1)*100</f>
        <v>0</v>
      </c>
      <c r="AU46">
        <f>MAX(0,($B$13+$C$13*BT46)/(1+$D$13*BT46)*BM46/(BO46+273)*$E$13)</f>
        <v>0</v>
      </c>
      <c r="AV46">
        <f>$B$11*BU46+$C$11*BV46+$F$11*CG46*(1-CJ46)</f>
        <v>0</v>
      </c>
      <c r="AW46">
        <f>AV46*AX46</f>
        <v>0</v>
      </c>
      <c r="AX46">
        <f>($B$11*$D$9+$C$11*$D$9+$F$11*((CT46+CL46)/MAX(CT46+CL46+CU46, 0.1)*$I$9+CU46/MAX(CT46+CL46+CU46, 0.1)*$J$9))/($B$11+$C$11+$F$11)</f>
        <v>0</v>
      </c>
      <c r="AY46">
        <f>($B$11*$K$9+$C$11*$K$9+$F$11*((CT46+CL46)/MAX(CT46+CL46+CU46, 0.1)*$P$9+CU46/MAX(CT46+CL46+CU46, 0.1)*$Q$9))/($B$11+$C$11+$F$11)</f>
        <v>0</v>
      </c>
      <c r="AZ46">
        <v>6</v>
      </c>
      <c r="BA46">
        <v>0.5</v>
      </c>
      <c r="BB46" t="s">
        <v>353</v>
      </c>
      <c r="BC46">
        <v>2</v>
      </c>
      <c r="BD46" t="b">
        <v>0</v>
      </c>
      <c r="BE46">
        <v>1750700548</v>
      </c>
      <c r="BF46">
        <v>400.67</v>
      </c>
      <c r="BG46">
        <v>405.0092580645161</v>
      </c>
      <c r="BH46">
        <v>15.17307419354839</v>
      </c>
      <c r="BI46">
        <v>14.30117741935484</v>
      </c>
      <c r="BJ46">
        <v>398.519</v>
      </c>
      <c r="BK46">
        <v>15.09107419354839</v>
      </c>
      <c r="BL46">
        <v>800.0075806451611</v>
      </c>
      <c r="BM46">
        <v>101.4570967741935</v>
      </c>
      <c r="BN46">
        <v>0.1001484806451613</v>
      </c>
      <c r="BO46">
        <v>22.98426129032259</v>
      </c>
      <c r="BP46">
        <v>21.89275806451613</v>
      </c>
      <c r="BQ46">
        <v>999.9000000000003</v>
      </c>
      <c r="BR46">
        <v>0</v>
      </c>
      <c r="BS46">
        <v>0</v>
      </c>
      <c r="BT46">
        <v>10000.83806451613</v>
      </c>
      <c r="BU46">
        <v>0</v>
      </c>
      <c r="BV46">
        <v>0.00152894</v>
      </c>
      <c r="BW46">
        <v>-4.363885161290323</v>
      </c>
      <c r="BX46">
        <v>406.8323870967742</v>
      </c>
      <c r="BY46">
        <v>410.8854838709677</v>
      </c>
      <c r="BZ46">
        <v>0.9065264516129029</v>
      </c>
      <c r="CA46">
        <v>405.0092580645161</v>
      </c>
      <c r="CB46">
        <v>14.30117741935484</v>
      </c>
      <c r="CC46">
        <v>1.542928387096774</v>
      </c>
      <c r="CD46">
        <v>1.450955161290323</v>
      </c>
      <c r="CE46">
        <v>13.40031612903226</v>
      </c>
      <c r="CF46">
        <v>12.4608935483871</v>
      </c>
      <c r="CG46">
        <v>999.9740645161291</v>
      </c>
      <c r="CH46">
        <v>0.9599960645161288</v>
      </c>
      <c r="CI46">
        <v>0.0400040258064516</v>
      </c>
      <c r="CJ46">
        <v>0</v>
      </c>
      <c r="CK46">
        <v>1.192096774193548</v>
      </c>
      <c r="CL46">
        <v>0</v>
      </c>
      <c r="CM46">
        <v>4542.562580645162</v>
      </c>
      <c r="CN46">
        <v>7946.694193548386</v>
      </c>
      <c r="CO46">
        <v>37.11064516129031</v>
      </c>
      <c r="CP46">
        <v>40.15096774193547</v>
      </c>
      <c r="CQ46">
        <v>38.5098387096774</v>
      </c>
      <c r="CR46">
        <v>39.3082258064516</v>
      </c>
      <c r="CS46">
        <v>37.10258064516128</v>
      </c>
      <c r="CT46">
        <v>959.9716129032257</v>
      </c>
      <c r="CU46">
        <v>40.00064516129032</v>
      </c>
      <c r="CV46">
        <v>0</v>
      </c>
      <c r="CW46">
        <v>1750700573</v>
      </c>
      <c r="CX46">
        <v>0</v>
      </c>
      <c r="CY46">
        <v>1750700577</v>
      </c>
      <c r="CZ46" t="s">
        <v>445</v>
      </c>
      <c r="DA46">
        <v>1750700577</v>
      </c>
      <c r="DB46">
        <v>1750700573</v>
      </c>
      <c r="DC46">
        <v>28</v>
      </c>
      <c r="DD46">
        <v>0.026</v>
      </c>
      <c r="DE46">
        <v>-0.007</v>
      </c>
      <c r="DF46">
        <v>2.151</v>
      </c>
      <c r="DG46">
        <v>0.082</v>
      </c>
      <c r="DH46">
        <v>405</v>
      </c>
      <c r="DI46">
        <v>14</v>
      </c>
      <c r="DJ46">
        <v>0.61</v>
      </c>
      <c r="DK46">
        <v>0.06</v>
      </c>
      <c r="DL46">
        <v>-4.338892195121952</v>
      </c>
      <c r="DM46">
        <v>-0.4814050871079999</v>
      </c>
      <c r="DN46">
        <v>0.04877081531908973</v>
      </c>
      <c r="DO46">
        <v>0</v>
      </c>
      <c r="DP46">
        <v>0.9532595121951222</v>
      </c>
      <c r="DQ46">
        <v>-0.8093662369337965</v>
      </c>
      <c r="DR46">
        <v>0.08529329472176435</v>
      </c>
      <c r="DS46">
        <v>0</v>
      </c>
      <c r="DT46">
        <v>0</v>
      </c>
      <c r="DU46">
        <v>2</v>
      </c>
      <c r="DV46" t="s">
        <v>372</v>
      </c>
      <c r="DW46">
        <v>3.44797</v>
      </c>
      <c r="DX46">
        <v>2.78086</v>
      </c>
      <c r="DY46">
        <v>0.0974334</v>
      </c>
      <c r="DZ46">
        <v>0.0985939</v>
      </c>
      <c r="EA46">
        <v>0.0866184</v>
      </c>
      <c r="EB46">
        <v>0.0827302</v>
      </c>
      <c r="EC46">
        <v>27334.2</v>
      </c>
      <c r="ED46">
        <v>31060</v>
      </c>
      <c r="EE46">
        <v>29406.3</v>
      </c>
      <c r="EF46">
        <v>35033.4</v>
      </c>
      <c r="EG46">
        <v>31062.9</v>
      </c>
      <c r="EH46">
        <v>39913</v>
      </c>
      <c r="EI46">
        <v>36203.3</v>
      </c>
      <c r="EJ46">
        <v>46401.2</v>
      </c>
      <c r="EK46">
        <v>2.12643</v>
      </c>
      <c r="EL46">
        <v>2.302</v>
      </c>
      <c r="EM46">
        <v>0.0591427</v>
      </c>
      <c r="EN46">
        <v>0</v>
      </c>
      <c r="EO46">
        <v>20.9917</v>
      </c>
      <c r="EP46">
        <v>999.9</v>
      </c>
      <c r="EQ46">
        <v>58.3</v>
      </c>
      <c r="ER46">
        <v>24.9</v>
      </c>
      <c r="ES46">
        <v>18.1617</v>
      </c>
      <c r="ET46">
        <v>61.5973</v>
      </c>
      <c r="EU46">
        <v>26.4463</v>
      </c>
      <c r="EV46">
        <v>2</v>
      </c>
      <c r="EW46">
        <v>-0.491047</v>
      </c>
      <c r="EX46">
        <v>0</v>
      </c>
      <c r="EY46">
        <v>20.2947</v>
      </c>
      <c r="EZ46">
        <v>5.21519</v>
      </c>
      <c r="FA46">
        <v>11.9682</v>
      </c>
      <c r="FB46">
        <v>4.9917</v>
      </c>
      <c r="FC46">
        <v>3.27195</v>
      </c>
      <c r="FD46">
        <v>2802.8</v>
      </c>
      <c r="FE46">
        <v>9999</v>
      </c>
      <c r="FF46">
        <v>9999</v>
      </c>
      <c r="FG46">
        <v>999.9</v>
      </c>
      <c r="FH46">
        <v>4.97261</v>
      </c>
      <c r="FI46">
        <v>1.86249</v>
      </c>
      <c r="FJ46">
        <v>1.86431</v>
      </c>
      <c r="FK46">
        <v>1.86264</v>
      </c>
      <c r="FL46">
        <v>1.86273</v>
      </c>
      <c r="FM46">
        <v>1.86332</v>
      </c>
      <c r="FN46">
        <v>1.85979</v>
      </c>
      <c r="FO46">
        <v>1.86263</v>
      </c>
      <c r="FP46">
        <v>0</v>
      </c>
      <c r="FQ46">
        <v>0</v>
      </c>
      <c r="FR46">
        <v>0</v>
      </c>
      <c r="FS46">
        <v>0</v>
      </c>
      <c r="FT46" t="s">
        <v>356</v>
      </c>
      <c r="FU46" t="s">
        <v>357</v>
      </c>
      <c r="FV46" t="s">
        <v>358</v>
      </c>
      <c r="FW46" t="s">
        <v>358</v>
      </c>
      <c r="FX46" t="s">
        <v>358</v>
      </c>
      <c r="FY46" t="s">
        <v>358</v>
      </c>
      <c r="FZ46">
        <v>0</v>
      </c>
      <c r="GA46">
        <v>100</v>
      </c>
      <c r="GB46">
        <v>100</v>
      </c>
      <c r="GC46">
        <v>2.151</v>
      </c>
      <c r="GD46">
        <v>0.082</v>
      </c>
      <c r="GE46">
        <v>2.407745993677212</v>
      </c>
      <c r="GF46">
        <v>-0.001033730503750798</v>
      </c>
      <c r="GG46">
        <v>9.120241388950126E-07</v>
      </c>
      <c r="GH46">
        <v>-2.246115299815222E-10</v>
      </c>
      <c r="GI46">
        <v>-0.02031929252609434</v>
      </c>
      <c r="GJ46">
        <v>-0.01814858093373864</v>
      </c>
      <c r="GK46">
        <v>0.002091959988359369</v>
      </c>
      <c r="GL46">
        <v>-1.90871700788604E-05</v>
      </c>
      <c r="GM46">
        <v>2</v>
      </c>
      <c r="GN46">
        <v>2210</v>
      </c>
      <c r="GO46">
        <v>1</v>
      </c>
      <c r="GP46">
        <v>26</v>
      </c>
      <c r="GQ46">
        <v>1.8</v>
      </c>
      <c r="GR46">
        <v>1.8</v>
      </c>
      <c r="GS46">
        <v>1.26343</v>
      </c>
      <c r="GT46">
        <v>2.38892</v>
      </c>
      <c r="GU46">
        <v>2.34863</v>
      </c>
      <c r="GV46">
        <v>2.75269</v>
      </c>
      <c r="GW46">
        <v>2.39868</v>
      </c>
      <c r="GX46">
        <v>2.23145</v>
      </c>
      <c r="GY46">
        <v>29.3039</v>
      </c>
      <c r="GZ46">
        <v>13.6154</v>
      </c>
      <c r="HA46">
        <v>18</v>
      </c>
      <c r="HB46">
        <v>499.727</v>
      </c>
      <c r="HC46">
        <v>660.846</v>
      </c>
      <c r="HD46">
        <v>22.0443</v>
      </c>
      <c r="HE46">
        <v>20.9384</v>
      </c>
      <c r="HF46">
        <v>30.0003</v>
      </c>
      <c r="HG46">
        <v>20.7957</v>
      </c>
      <c r="HH46">
        <v>20.7392</v>
      </c>
      <c r="HI46">
        <v>25.3498</v>
      </c>
      <c r="HJ46">
        <v>25.4186</v>
      </c>
      <c r="HK46">
        <v>21.4161</v>
      </c>
      <c r="HL46">
        <v>-999.9</v>
      </c>
      <c r="HM46">
        <v>405</v>
      </c>
      <c r="HN46">
        <v>14.345</v>
      </c>
      <c r="HO46">
        <v>100.971</v>
      </c>
      <c r="HP46">
        <v>101.292</v>
      </c>
    </row>
    <row r="47" spans="1:224">
      <c r="A47">
        <v>31</v>
      </c>
      <c r="B47">
        <v>1750700729.5</v>
      </c>
      <c r="C47">
        <v>5866.400000095367</v>
      </c>
      <c r="D47" t="s">
        <v>446</v>
      </c>
      <c r="E47" t="s">
        <v>447</v>
      </c>
      <c r="F47">
        <v>15</v>
      </c>
      <c r="G47">
        <v>1750700721.75</v>
      </c>
      <c r="H47">
        <f>(I47)/1000</f>
        <v>0</v>
      </c>
      <c r="I47">
        <f>IF(BD47, AL47, AF47)</f>
        <v>0</v>
      </c>
      <c r="J47">
        <f>IF(BD47, AG47, AE47)</f>
        <v>0</v>
      </c>
      <c r="K47">
        <f>BF47 - IF(AS47&gt;1, J47*AZ47*100.0/(AU47), 0)</f>
        <v>0</v>
      </c>
      <c r="L47">
        <f>((R47-H47/2)*K47-J47)/(R47+H47/2)</f>
        <v>0</v>
      </c>
      <c r="M47">
        <f>L47*(BM47+BN47)/1000.0</f>
        <v>0</v>
      </c>
      <c r="N47">
        <f>(BF47 - IF(AS47&gt;1, J47*AZ47*100.0/(AU47), 0))*(BM47+BN47)/1000.0</f>
        <v>0</v>
      </c>
      <c r="O47">
        <f>2.0/((1/Q47-1/P47)+SIGN(Q47)*SQRT((1/Q47-1/P47)*(1/Q47-1/P47) + 4*BA47/((BA47+1)*(BA47+1))*(2*1/Q47*1/P47-1/P47*1/P47)))</f>
        <v>0</v>
      </c>
      <c r="P47">
        <f>IF(LEFT(BB47,1)&lt;&gt;"0",IF(LEFT(BB47,1)="1",3.0,BC47),$D$5+$E$5*(BT47*BM47/($K$5*1000))+$F$5*(BT47*BM47/($K$5*1000))*MAX(MIN(AZ47,$J$5),$I$5)*MAX(MIN(AZ47,$J$5),$I$5)+$G$5*MAX(MIN(AZ47,$J$5),$I$5)*(BT47*BM47/($K$5*1000))+$H$5*(BT47*BM47/($K$5*1000))*(BT47*BM47/($K$5*1000)))</f>
        <v>0</v>
      </c>
      <c r="Q47">
        <f>H47*(1000-(1000*0.61365*exp(17.502*U47/(240.97+U47))/(BM47+BN47)+BH47)/2)/(1000*0.61365*exp(17.502*U47/(240.97+U47))/(BM47+BN47)-BH47)</f>
        <v>0</v>
      </c>
      <c r="R47">
        <f>1/((BA47+1)/(O47/1.6)+1/(P47/1.37)) + BA47/((BA47+1)/(O47/1.6) + BA47/(P47/1.37))</f>
        <v>0</v>
      </c>
      <c r="S47">
        <f>(AV47*AY47)</f>
        <v>0</v>
      </c>
      <c r="T47">
        <f>(BO47+(S47+2*0.95*5.67E-8*(((BO47+$B$7)+273)^4-(BO47+273)^4)-44100*H47)/(1.84*29.3*P47+8*0.95*5.67E-8*(BO47+273)^3))</f>
        <v>0</v>
      </c>
      <c r="U47">
        <f>($C$7*BP47+$D$7*BQ47+$E$7*T47)</f>
        <v>0</v>
      </c>
      <c r="V47">
        <f>0.61365*exp(17.502*U47/(240.97+U47))</f>
        <v>0</v>
      </c>
      <c r="W47">
        <f>(X47/Y47*100)</f>
        <v>0</v>
      </c>
      <c r="X47">
        <f>BH47*(BM47+BN47)/1000</f>
        <v>0</v>
      </c>
      <c r="Y47">
        <f>0.61365*exp(17.502*BO47/(240.97+BO47))</f>
        <v>0</v>
      </c>
      <c r="Z47">
        <f>(V47-BH47*(BM47+BN47)/1000)</f>
        <v>0</v>
      </c>
      <c r="AA47">
        <f>(-H47*44100)</f>
        <v>0</v>
      </c>
      <c r="AB47">
        <f>2*29.3*P47*0.92*(BO47-U47)</f>
        <v>0</v>
      </c>
      <c r="AC47">
        <f>2*0.95*5.67E-8*(((BO47+$B$7)+273)^4-(U47+273)^4)</f>
        <v>0</v>
      </c>
      <c r="AD47">
        <f>S47+AC47+AA47+AB47</f>
        <v>0</v>
      </c>
      <c r="AE47">
        <f>BL47*AS47*(BG47-BF47*(1000-AS47*BI47)/(1000-AS47*BH47))/(100*AZ47)</f>
        <v>0</v>
      </c>
      <c r="AF47">
        <f>1000*BL47*AS47*(BH47-BI47)/(100*AZ47*(1000-AS47*BH47))</f>
        <v>0</v>
      </c>
      <c r="AG47">
        <f>(AH47 - AI47 - BM47*1E3/(8.314*(BO47+273.15)) * AK47/BL47 * AJ47) * BL47/(100*AZ47) * (1000 - BI47)/1000</f>
        <v>0</v>
      </c>
      <c r="AH47">
        <v>409.088446233548</v>
      </c>
      <c r="AI47">
        <v>402.318509090909</v>
      </c>
      <c r="AJ47">
        <v>0.0005507479458498062</v>
      </c>
      <c r="AK47">
        <v>66.95721571577971</v>
      </c>
      <c r="AL47">
        <f>(AN47 - AM47 + BM47*1E3/(8.314*(BO47+273.15)) * AP47/BL47 * AO47) * BL47/(100*AZ47) * 1000/(1000 - AN47)</f>
        <v>0</v>
      </c>
      <c r="AM47">
        <v>10.06048147140662</v>
      </c>
      <c r="AN47">
        <v>15.0732606060606</v>
      </c>
      <c r="AO47">
        <v>0.0007488685163977</v>
      </c>
      <c r="AP47">
        <v>79.22681732257038</v>
      </c>
      <c r="AQ47">
        <v>346</v>
      </c>
      <c r="AR47">
        <v>43</v>
      </c>
      <c r="AS47">
        <f>IF(AQ47*$H$13&gt;=AU47,1.0,(AU47/(AU47-AQ47*$H$13)))</f>
        <v>0</v>
      </c>
      <c r="AT47">
        <f>(AS47-1)*100</f>
        <v>0</v>
      </c>
      <c r="AU47">
        <f>MAX(0,($B$13+$C$13*BT47)/(1+$D$13*BT47)*BM47/(BO47+273)*$E$13)</f>
        <v>0</v>
      </c>
      <c r="AV47">
        <f>$B$11*BU47+$C$11*BV47+$F$11*CG47*(1-CJ47)</f>
        <v>0</v>
      </c>
      <c r="AW47">
        <f>AV47*AX47</f>
        <v>0</v>
      </c>
      <c r="AX47">
        <f>($B$11*$D$9+$C$11*$D$9+$F$11*((CT47+CL47)/MAX(CT47+CL47+CU47, 0.1)*$I$9+CU47/MAX(CT47+CL47+CU47, 0.1)*$J$9))/($B$11+$C$11+$F$11)</f>
        <v>0</v>
      </c>
      <c r="AY47">
        <f>($B$11*$K$9+$C$11*$K$9+$F$11*((CT47+CL47)/MAX(CT47+CL47+CU47, 0.1)*$P$9+CU47/MAX(CT47+CL47+CU47, 0.1)*$Q$9))/($B$11+$C$11+$F$11)</f>
        <v>0</v>
      </c>
      <c r="AZ47">
        <v>6</v>
      </c>
      <c r="BA47">
        <v>0.5</v>
      </c>
      <c r="BB47" t="s">
        <v>353</v>
      </c>
      <c r="BC47">
        <v>2</v>
      </c>
      <c r="BD47" t="b">
        <v>0</v>
      </c>
      <c r="BE47">
        <v>1750700721.75</v>
      </c>
      <c r="BF47">
        <v>396.2490333333334</v>
      </c>
      <c r="BG47">
        <v>404.9602</v>
      </c>
      <c r="BH47">
        <v>15.04850666666667</v>
      </c>
      <c r="BI47">
        <v>10.00809966666667</v>
      </c>
      <c r="BJ47">
        <v>394.0670333333334</v>
      </c>
      <c r="BK47">
        <v>14.94396</v>
      </c>
      <c r="BL47">
        <v>800.0056999999998</v>
      </c>
      <c r="BM47">
        <v>101.4608</v>
      </c>
      <c r="BN47">
        <v>0.1000364033333334</v>
      </c>
      <c r="BO47">
        <v>22.98168666666667</v>
      </c>
      <c r="BP47">
        <v>22.74429333333333</v>
      </c>
      <c r="BQ47">
        <v>999.9000000000002</v>
      </c>
      <c r="BR47">
        <v>0</v>
      </c>
      <c r="BS47">
        <v>0</v>
      </c>
      <c r="BT47">
        <v>10000.64133333333</v>
      </c>
      <c r="BU47">
        <v>0</v>
      </c>
      <c r="BV47">
        <v>0.00152894</v>
      </c>
      <c r="BW47">
        <v>-8.738824333333332</v>
      </c>
      <c r="BX47">
        <v>402.2751</v>
      </c>
      <c r="BY47">
        <v>409.0541333333334</v>
      </c>
      <c r="BZ47">
        <v>5.040408999999999</v>
      </c>
      <c r="CA47">
        <v>404.9602</v>
      </c>
      <c r="CB47">
        <v>10.00809966666667</v>
      </c>
      <c r="CC47">
        <v>1.526834666666667</v>
      </c>
      <c r="CD47">
        <v>1.015430333333333</v>
      </c>
      <c r="CE47">
        <v>13.23955333333333</v>
      </c>
      <c r="CF47">
        <v>7.139497666666667</v>
      </c>
      <c r="CG47">
        <v>999.9939666666666</v>
      </c>
      <c r="CH47">
        <v>0.959999733333333</v>
      </c>
      <c r="CI47">
        <v>0.04000028666666666</v>
      </c>
      <c r="CJ47">
        <v>0</v>
      </c>
      <c r="CK47">
        <v>1.498166666666666</v>
      </c>
      <c r="CL47">
        <v>0</v>
      </c>
      <c r="CM47">
        <v>8227.486999999999</v>
      </c>
      <c r="CN47">
        <v>7946.868666666667</v>
      </c>
      <c r="CO47">
        <v>38.4727</v>
      </c>
      <c r="CP47">
        <v>41.54759999999999</v>
      </c>
      <c r="CQ47">
        <v>39.83723333333333</v>
      </c>
      <c r="CR47">
        <v>41.48303333333332</v>
      </c>
      <c r="CS47">
        <v>38.4289</v>
      </c>
      <c r="CT47">
        <v>959.9930000000002</v>
      </c>
      <c r="CU47">
        <v>40</v>
      </c>
      <c r="CV47">
        <v>0</v>
      </c>
      <c r="CW47">
        <v>1750700746.4</v>
      </c>
      <c r="CX47">
        <v>0</v>
      </c>
      <c r="CY47">
        <v>1750700751.5</v>
      </c>
      <c r="CZ47" t="s">
        <v>448</v>
      </c>
      <c r="DA47">
        <v>1750700751.5</v>
      </c>
      <c r="DB47">
        <v>1750700573</v>
      </c>
      <c r="DC47">
        <v>29</v>
      </c>
      <c r="DD47">
        <v>0.031</v>
      </c>
      <c r="DE47">
        <v>-0.007</v>
      </c>
      <c r="DF47">
        <v>2.182</v>
      </c>
      <c r="DG47">
        <v>0.082</v>
      </c>
      <c r="DH47">
        <v>405</v>
      </c>
      <c r="DI47">
        <v>14</v>
      </c>
      <c r="DJ47">
        <v>0.22</v>
      </c>
      <c r="DK47">
        <v>0.06</v>
      </c>
      <c r="DL47">
        <v>-8.743561463414633</v>
      </c>
      <c r="DM47">
        <v>0.1027580487804907</v>
      </c>
      <c r="DN47">
        <v>0.01645512753668787</v>
      </c>
      <c r="DO47">
        <v>0</v>
      </c>
      <c r="DP47">
        <v>5.076773170731707</v>
      </c>
      <c r="DQ47">
        <v>-0.6646557491289198</v>
      </c>
      <c r="DR47">
        <v>0.06853555966596432</v>
      </c>
      <c r="DS47">
        <v>0</v>
      </c>
      <c r="DT47">
        <v>0</v>
      </c>
      <c r="DU47">
        <v>2</v>
      </c>
      <c r="DV47" t="s">
        <v>372</v>
      </c>
      <c r="DW47">
        <v>3.4458</v>
      </c>
      <c r="DX47">
        <v>2.78065</v>
      </c>
      <c r="DY47">
        <v>0.0966003</v>
      </c>
      <c r="DZ47">
        <v>0.0985246</v>
      </c>
      <c r="EA47">
        <v>0.086205</v>
      </c>
      <c r="EB47">
        <v>0.06375649999999999</v>
      </c>
      <c r="EC47">
        <v>27356.1</v>
      </c>
      <c r="ED47">
        <v>31061.4</v>
      </c>
      <c r="EE47">
        <v>29403.1</v>
      </c>
      <c r="EF47">
        <v>35033</v>
      </c>
      <c r="EG47">
        <v>31073.7</v>
      </c>
      <c r="EH47">
        <v>40742.7</v>
      </c>
      <c r="EI47">
        <v>36199</v>
      </c>
      <c r="EJ47">
        <v>46401.8</v>
      </c>
      <c r="EK47">
        <v>1.95142</v>
      </c>
      <c r="EL47">
        <v>2.28892</v>
      </c>
      <c r="EM47">
        <v>0.114802</v>
      </c>
      <c r="EN47">
        <v>0</v>
      </c>
      <c r="EO47">
        <v>20.8515</v>
      </c>
      <c r="EP47">
        <v>999.9</v>
      </c>
      <c r="EQ47">
        <v>57.4</v>
      </c>
      <c r="ER47">
        <v>25</v>
      </c>
      <c r="ES47">
        <v>17.9889</v>
      </c>
      <c r="ET47">
        <v>61.4573</v>
      </c>
      <c r="EU47">
        <v>26.7708</v>
      </c>
      <c r="EV47">
        <v>2</v>
      </c>
      <c r="EW47">
        <v>-0.485577</v>
      </c>
      <c r="EX47">
        <v>0</v>
      </c>
      <c r="EY47">
        <v>20.2945</v>
      </c>
      <c r="EZ47">
        <v>5.2107</v>
      </c>
      <c r="FA47">
        <v>11.9683</v>
      </c>
      <c r="FB47">
        <v>4.9912</v>
      </c>
      <c r="FC47">
        <v>3.2717</v>
      </c>
      <c r="FD47">
        <v>2808</v>
      </c>
      <c r="FE47">
        <v>9999</v>
      </c>
      <c r="FF47">
        <v>9999</v>
      </c>
      <c r="FG47">
        <v>999.9</v>
      </c>
      <c r="FH47">
        <v>4.97259</v>
      </c>
      <c r="FI47">
        <v>1.86249</v>
      </c>
      <c r="FJ47">
        <v>1.8643</v>
      </c>
      <c r="FK47">
        <v>1.86268</v>
      </c>
      <c r="FL47">
        <v>1.86274</v>
      </c>
      <c r="FM47">
        <v>1.86326</v>
      </c>
      <c r="FN47">
        <v>1.85977</v>
      </c>
      <c r="FO47">
        <v>1.86264</v>
      </c>
      <c r="FP47">
        <v>0</v>
      </c>
      <c r="FQ47">
        <v>0</v>
      </c>
      <c r="FR47">
        <v>0</v>
      </c>
      <c r="FS47">
        <v>0</v>
      </c>
      <c r="FT47" t="s">
        <v>356</v>
      </c>
      <c r="FU47" t="s">
        <v>357</v>
      </c>
      <c r="FV47" t="s">
        <v>358</v>
      </c>
      <c r="FW47" t="s">
        <v>358</v>
      </c>
      <c r="FX47" t="s">
        <v>358</v>
      </c>
      <c r="FY47" t="s">
        <v>358</v>
      </c>
      <c r="FZ47">
        <v>0</v>
      </c>
      <c r="GA47">
        <v>100</v>
      </c>
      <c r="GB47">
        <v>100</v>
      </c>
      <c r="GC47">
        <v>2.182</v>
      </c>
      <c r="GD47">
        <v>0.1053</v>
      </c>
      <c r="GE47">
        <v>2.43376890383843</v>
      </c>
      <c r="GF47">
        <v>-0.001033730503750798</v>
      </c>
      <c r="GG47">
        <v>9.120241388950126E-07</v>
      </c>
      <c r="GH47">
        <v>-2.246115299815222E-10</v>
      </c>
      <c r="GI47">
        <v>-0.02770979862019771</v>
      </c>
      <c r="GJ47">
        <v>-0.01814858093373864</v>
      </c>
      <c r="GK47">
        <v>0.002091959988359369</v>
      </c>
      <c r="GL47">
        <v>-1.90871700788604E-05</v>
      </c>
      <c r="GM47">
        <v>2</v>
      </c>
      <c r="GN47">
        <v>2210</v>
      </c>
      <c r="GO47">
        <v>1</v>
      </c>
      <c r="GP47">
        <v>26</v>
      </c>
      <c r="GQ47">
        <v>2.5</v>
      </c>
      <c r="GR47">
        <v>2.6</v>
      </c>
      <c r="GS47">
        <v>1.25977</v>
      </c>
      <c r="GT47">
        <v>2.37793</v>
      </c>
      <c r="GU47">
        <v>2.34741</v>
      </c>
      <c r="GV47">
        <v>2.75269</v>
      </c>
      <c r="GW47">
        <v>2.39868</v>
      </c>
      <c r="GX47">
        <v>2.24487</v>
      </c>
      <c r="GY47">
        <v>29.3464</v>
      </c>
      <c r="GZ47">
        <v>13.5892</v>
      </c>
      <c r="HA47">
        <v>18</v>
      </c>
      <c r="HB47">
        <v>408.145</v>
      </c>
      <c r="HC47">
        <v>651.455</v>
      </c>
      <c r="HD47">
        <v>22.0826</v>
      </c>
      <c r="HE47">
        <v>21.0187</v>
      </c>
      <c r="HF47">
        <v>30.0002</v>
      </c>
      <c r="HG47">
        <v>20.8855</v>
      </c>
      <c r="HH47">
        <v>20.8213</v>
      </c>
      <c r="HI47">
        <v>25.2708</v>
      </c>
      <c r="HJ47">
        <v>43.2134</v>
      </c>
      <c r="HK47">
        <v>17.0815</v>
      </c>
      <c r="HL47">
        <v>-999.9</v>
      </c>
      <c r="HM47">
        <v>405</v>
      </c>
      <c r="HN47">
        <v>10.2114</v>
      </c>
      <c r="HO47">
        <v>100.96</v>
      </c>
      <c r="HP47">
        <v>101.292</v>
      </c>
    </row>
    <row r="48" spans="1:224">
      <c r="A48">
        <v>32</v>
      </c>
      <c r="B48">
        <v>1750700850</v>
      </c>
      <c r="C48">
        <v>5986.900000095367</v>
      </c>
      <c r="D48" t="s">
        <v>449</v>
      </c>
      <c r="E48" t="s">
        <v>450</v>
      </c>
      <c r="F48">
        <v>15</v>
      </c>
      <c r="G48">
        <v>1750700842.25</v>
      </c>
      <c r="H48">
        <f>(I48)/1000</f>
        <v>0</v>
      </c>
      <c r="I48">
        <f>IF(BD48, AL48, AF48)</f>
        <v>0</v>
      </c>
      <c r="J48">
        <f>IF(BD48, AG48, AE48)</f>
        <v>0</v>
      </c>
      <c r="K48">
        <f>BF48 - IF(AS48&gt;1, J48*AZ48*100.0/(AU48), 0)</f>
        <v>0</v>
      </c>
      <c r="L48">
        <f>((R48-H48/2)*K48-J48)/(R48+H48/2)</f>
        <v>0</v>
      </c>
      <c r="M48">
        <f>L48*(BM48+BN48)/1000.0</f>
        <v>0</v>
      </c>
      <c r="N48">
        <f>(BF48 - IF(AS48&gt;1, J48*AZ48*100.0/(AU48), 0))*(BM48+BN48)/1000.0</f>
        <v>0</v>
      </c>
      <c r="O48">
        <f>2.0/((1/Q48-1/P48)+SIGN(Q48)*SQRT((1/Q48-1/P48)*(1/Q48-1/P48) + 4*BA48/((BA48+1)*(BA48+1))*(2*1/Q48*1/P48-1/P48*1/P48)))</f>
        <v>0</v>
      </c>
      <c r="P48">
        <f>IF(LEFT(BB48,1)&lt;&gt;"0",IF(LEFT(BB48,1)="1",3.0,BC48),$D$5+$E$5*(BT48*BM48/($K$5*1000))+$F$5*(BT48*BM48/($K$5*1000))*MAX(MIN(AZ48,$J$5),$I$5)*MAX(MIN(AZ48,$J$5),$I$5)+$G$5*MAX(MIN(AZ48,$J$5),$I$5)*(BT48*BM48/($K$5*1000))+$H$5*(BT48*BM48/($K$5*1000))*(BT48*BM48/($K$5*1000)))</f>
        <v>0</v>
      </c>
      <c r="Q48">
        <f>H48*(1000-(1000*0.61365*exp(17.502*U48/(240.97+U48))/(BM48+BN48)+BH48)/2)/(1000*0.61365*exp(17.502*U48/(240.97+U48))/(BM48+BN48)-BH48)</f>
        <v>0</v>
      </c>
      <c r="R48">
        <f>1/((BA48+1)/(O48/1.6)+1/(P48/1.37)) + BA48/((BA48+1)/(O48/1.6) + BA48/(P48/1.37))</f>
        <v>0</v>
      </c>
      <c r="S48">
        <f>(AV48*AY48)</f>
        <v>0</v>
      </c>
      <c r="T48">
        <f>(BO48+(S48+2*0.95*5.67E-8*(((BO48+$B$7)+273)^4-(BO48+273)^4)-44100*H48)/(1.84*29.3*P48+8*0.95*5.67E-8*(BO48+273)^3))</f>
        <v>0</v>
      </c>
      <c r="U48">
        <f>($C$7*BP48+$D$7*BQ48+$E$7*T48)</f>
        <v>0</v>
      </c>
      <c r="V48">
        <f>0.61365*exp(17.502*U48/(240.97+U48))</f>
        <v>0</v>
      </c>
      <c r="W48">
        <f>(X48/Y48*100)</f>
        <v>0</v>
      </c>
      <c r="X48">
        <f>BH48*(BM48+BN48)/1000</f>
        <v>0</v>
      </c>
      <c r="Y48">
        <f>0.61365*exp(17.502*BO48/(240.97+BO48))</f>
        <v>0</v>
      </c>
      <c r="Z48">
        <f>(V48-BH48*(BM48+BN48)/1000)</f>
        <v>0</v>
      </c>
      <c r="AA48">
        <f>(-H48*44100)</f>
        <v>0</v>
      </c>
      <c r="AB48">
        <f>2*29.3*P48*0.92*(BO48-U48)</f>
        <v>0</v>
      </c>
      <c r="AC48">
        <f>2*0.95*5.67E-8*(((BO48+$B$7)+273)^4-(U48+273)^4)</f>
        <v>0</v>
      </c>
      <c r="AD48">
        <f>S48+AC48+AA48+AB48</f>
        <v>0</v>
      </c>
      <c r="AE48">
        <f>BL48*AS48*(BG48-BF48*(1000-AS48*BI48)/(1000-AS48*BH48))/(100*AZ48)</f>
        <v>0</v>
      </c>
      <c r="AF48">
        <f>1000*BL48*AS48*(BH48-BI48)/(100*AZ48*(1000-AS48*BH48))</f>
        <v>0</v>
      </c>
      <c r="AG48">
        <f>(AH48 - AI48 - BM48*1E3/(8.314*(BO48+273.15)) * AK48/BL48 * AJ48) * BL48/(100*AZ48) * (1000 - BI48)/1000</f>
        <v>0</v>
      </c>
      <c r="AH48">
        <v>410.2667111397619</v>
      </c>
      <c r="AI48">
        <v>403.844715151515</v>
      </c>
      <c r="AJ48">
        <v>0.000312489518622617</v>
      </c>
      <c r="AK48">
        <v>66.95449573298518</v>
      </c>
      <c r="AL48">
        <f>(AN48 - AM48 + BM48*1E3/(8.314*(BO48+273.15)) * AP48/BL48 * AO48) * BL48/(100*AZ48) * 1000/(1000 - AN48)</f>
        <v>0</v>
      </c>
      <c r="AM48">
        <v>12.94383228377</v>
      </c>
      <c r="AN48">
        <v>15.07583454545454</v>
      </c>
      <c r="AO48">
        <v>0.01440531678790906</v>
      </c>
      <c r="AP48">
        <v>79.26330834926921</v>
      </c>
      <c r="AQ48">
        <v>37</v>
      </c>
      <c r="AR48">
        <v>5</v>
      </c>
      <c r="AS48">
        <f>IF(AQ48*$H$13&gt;=AU48,1.0,(AU48/(AU48-AQ48*$H$13)))</f>
        <v>0</v>
      </c>
      <c r="AT48">
        <f>(AS48-1)*100</f>
        <v>0</v>
      </c>
      <c r="AU48">
        <f>MAX(0,($B$13+$C$13*BT48)/(1+$D$13*BT48)*BM48/(BO48+273)*$E$13)</f>
        <v>0</v>
      </c>
      <c r="AV48">
        <f>$B$11*BU48+$C$11*BV48+$F$11*CG48*(1-CJ48)</f>
        <v>0</v>
      </c>
      <c r="AW48">
        <f>AV48*AX48</f>
        <v>0</v>
      </c>
      <c r="AX48">
        <f>($B$11*$D$9+$C$11*$D$9+$F$11*((CT48+CL48)/MAX(CT48+CL48+CU48, 0.1)*$I$9+CU48/MAX(CT48+CL48+CU48, 0.1)*$J$9))/($B$11+$C$11+$F$11)</f>
        <v>0</v>
      </c>
      <c r="AY48">
        <f>($B$11*$K$9+$C$11*$K$9+$F$11*((CT48+CL48)/MAX(CT48+CL48+CU48, 0.1)*$P$9+CU48/MAX(CT48+CL48+CU48, 0.1)*$Q$9))/($B$11+$C$11+$F$11)</f>
        <v>0</v>
      </c>
      <c r="AZ48">
        <v>6</v>
      </c>
      <c r="BA48">
        <v>0.5</v>
      </c>
      <c r="BB48" t="s">
        <v>353</v>
      </c>
      <c r="BC48">
        <v>2</v>
      </c>
      <c r="BD48" t="b">
        <v>0</v>
      </c>
      <c r="BE48">
        <v>1750700842.25</v>
      </c>
      <c r="BF48">
        <v>397.6429333333334</v>
      </c>
      <c r="BG48">
        <v>404.9288</v>
      </c>
      <c r="BH48">
        <v>14.94207333333333</v>
      </c>
      <c r="BI48">
        <v>12.85506333333333</v>
      </c>
      <c r="BJ48">
        <v>395.5549333333334</v>
      </c>
      <c r="BK48">
        <v>14.84073666666666</v>
      </c>
      <c r="BL48">
        <v>800.0149333333334</v>
      </c>
      <c r="BM48">
        <v>101.4619333333333</v>
      </c>
      <c r="BN48">
        <v>0.09992502333333333</v>
      </c>
      <c r="BO48">
        <v>22.98589666666667</v>
      </c>
      <c r="BP48">
        <v>19.60611</v>
      </c>
      <c r="BQ48">
        <v>999.9000000000002</v>
      </c>
      <c r="BR48">
        <v>0</v>
      </c>
      <c r="BS48">
        <v>0</v>
      </c>
      <c r="BT48">
        <v>10008.22366666667</v>
      </c>
      <c r="BU48">
        <v>0</v>
      </c>
      <c r="BV48">
        <v>0.00152894</v>
      </c>
      <c r="BW48">
        <v>-7.18881</v>
      </c>
      <c r="BX48">
        <v>403.7731333333334</v>
      </c>
      <c r="BY48">
        <v>410.2019333333334</v>
      </c>
      <c r="BZ48">
        <v>2.086986</v>
      </c>
      <c r="CA48">
        <v>404.9288</v>
      </c>
      <c r="CB48">
        <v>12.85506333333333</v>
      </c>
      <c r="CC48">
        <v>1.516050333333333</v>
      </c>
      <c r="CD48">
        <v>1.304300333333333</v>
      </c>
      <c r="CE48">
        <v>13.13070333333333</v>
      </c>
      <c r="CF48">
        <v>10.84824</v>
      </c>
      <c r="CG48">
        <v>1000.0239</v>
      </c>
      <c r="CH48">
        <v>0.9600003999999999</v>
      </c>
      <c r="CI48">
        <v>0.03999965999999999</v>
      </c>
      <c r="CJ48">
        <v>0</v>
      </c>
      <c r="CK48">
        <v>1.970666666666667</v>
      </c>
      <c r="CL48">
        <v>0</v>
      </c>
      <c r="CM48">
        <v>7300.334000000001</v>
      </c>
      <c r="CN48">
        <v>7947.102333333331</v>
      </c>
      <c r="CO48">
        <v>37.3206</v>
      </c>
      <c r="CP48">
        <v>39.4664</v>
      </c>
      <c r="CQ48">
        <v>38.70393333333333</v>
      </c>
      <c r="CR48">
        <v>38.97886666666665</v>
      </c>
      <c r="CS48">
        <v>37.3414</v>
      </c>
      <c r="CT48">
        <v>960.0236666666666</v>
      </c>
      <c r="CU48">
        <v>40</v>
      </c>
      <c r="CV48">
        <v>0</v>
      </c>
      <c r="CW48">
        <v>1750700867</v>
      </c>
      <c r="CX48">
        <v>0</v>
      </c>
      <c r="CY48">
        <v>1750700873.5</v>
      </c>
      <c r="CZ48" t="s">
        <v>451</v>
      </c>
      <c r="DA48">
        <v>1750700873.5</v>
      </c>
      <c r="DB48">
        <v>1750700573</v>
      </c>
      <c r="DC48">
        <v>30</v>
      </c>
      <c r="DD48">
        <v>-0.094</v>
      </c>
      <c r="DE48">
        <v>-0.007</v>
      </c>
      <c r="DF48">
        <v>2.088</v>
      </c>
      <c r="DG48">
        <v>0.082</v>
      </c>
      <c r="DH48">
        <v>405</v>
      </c>
      <c r="DI48">
        <v>14</v>
      </c>
      <c r="DJ48">
        <v>0.19</v>
      </c>
      <c r="DK48">
        <v>0.06</v>
      </c>
      <c r="DL48">
        <v>-7.187234999999999</v>
      </c>
      <c r="DM48">
        <v>0.005948667917457962</v>
      </c>
      <c r="DN48">
        <v>0.01571247529830993</v>
      </c>
      <c r="DO48">
        <v>1</v>
      </c>
      <c r="DP48">
        <v>2.0597965</v>
      </c>
      <c r="DQ48">
        <v>0.4921913696059956</v>
      </c>
      <c r="DR48">
        <v>0.0521009129742464</v>
      </c>
      <c r="DS48">
        <v>0</v>
      </c>
      <c r="DT48">
        <v>1</v>
      </c>
      <c r="DU48">
        <v>2</v>
      </c>
      <c r="DV48" t="s">
        <v>355</v>
      </c>
      <c r="DW48">
        <v>3.44724</v>
      </c>
      <c r="DX48">
        <v>2.78061</v>
      </c>
      <c r="DY48">
        <v>0.0968709</v>
      </c>
      <c r="DZ48">
        <v>0.0985462</v>
      </c>
      <c r="EA48">
        <v>0.0862281</v>
      </c>
      <c r="EB48">
        <v>0.07689849999999999</v>
      </c>
      <c r="EC48">
        <v>27348.1</v>
      </c>
      <c r="ED48">
        <v>31060.7</v>
      </c>
      <c r="EE48">
        <v>29403.3</v>
      </c>
      <c r="EF48">
        <v>35032.9</v>
      </c>
      <c r="EG48">
        <v>31073.6</v>
      </c>
      <c r="EH48">
        <v>40168.1</v>
      </c>
      <c r="EI48">
        <v>36199.8</v>
      </c>
      <c r="EJ48">
        <v>46401.6</v>
      </c>
      <c r="EK48">
        <v>2.50268</v>
      </c>
      <c r="EL48">
        <v>2.29475</v>
      </c>
      <c r="EM48">
        <v>-0.0636727</v>
      </c>
      <c r="EN48">
        <v>0</v>
      </c>
      <c r="EO48">
        <v>20.7644</v>
      </c>
      <c r="EP48">
        <v>999.9</v>
      </c>
      <c r="EQ48">
        <v>56.8</v>
      </c>
      <c r="ER48">
        <v>25</v>
      </c>
      <c r="ES48">
        <v>17.8016</v>
      </c>
      <c r="ET48">
        <v>61.5973</v>
      </c>
      <c r="EU48">
        <v>26.4543</v>
      </c>
      <c r="EV48">
        <v>2</v>
      </c>
      <c r="EW48">
        <v>-0.485183</v>
      </c>
      <c r="EX48">
        <v>0</v>
      </c>
      <c r="EY48">
        <v>20.2927</v>
      </c>
      <c r="EZ48">
        <v>5.21519</v>
      </c>
      <c r="FA48">
        <v>11.968</v>
      </c>
      <c r="FB48">
        <v>4.9914</v>
      </c>
      <c r="FC48">
        <v>3.27198</v>
      </c>
      <c r="FD48">
        <v>2811.9</v>
      </c>
      <c r="FE48">
        <v>9999</v>
      </c>
      <c r="FF48">
        <v>9999</v>
      </c>
      <c r="FG48">
        <v>999.9</v>
      </c>
      <c r="FH48">
        <v>4.97259</v>
      </c>
      <c r="FI48">
        <v>1.86249</v>
      </c>
      <c r="FJ48">
        <v>1.86431</v>
      </c>
      <c r="FK48">
        <v>1.86264</v>
      </c>
      <c r="FL48">
        <v>1.8627</v>
      </c>
      <c r="FM48">
        <v>1.86326</v>
      </c>
      <c r="FN48">
        <v>1.85975</v>
      </c>
      <c r="FO48">
        <v>1.86264</v>
      </c>
      <c r="FP48">
        <v>0</v>
      </c>
      <c r="FQ48">
        <v>0</v>
      </c>
      <c r="FR48">
        <v>0</v>
      </c>
      <c r="FS48">
        <v>0</v>
      </c>
      <c r="FT48" t="s">
        <v>356</v>
      </c>
      <c r="FU48" t="s">
        <v>357</v>
      </c>
      <c r="FV48" t="s">
        <v>358</v>
      </c>
      <c r="FW48" t="s">
        <v>358</v>
      </c>
      <c r="FX48" t="s">
        <v>358</v>
      </c>
      <c r="FY48" t="s">
        <v>358</v>
      </c>
      <c r="FZ48">
        <v>0</v>
      </c>
      <c r="GA48">
        <v>100</v>
      </c>
      <c r="GB48">
        <v>100</v>
      </c>
      <c r="GC48">
        <v>2.088</v>
      </c>
      <c r="GD48">
        <v>0.1055</v>
      </c>
      <c r="GE48">
        <v>2.465163290319286</v>
      </c>
      <c r="GF48">
        <v>-0.001033730503750798</v>
      </c>
      <c r="GG48">
        <v>9.120241388950126E-07</v>
      </c>
      <c r="GH48">
        <v>-2.246115299815222E-10</v>
      </c>
      <c r="GI48">
        <v>-0.02770979862019771</v>
      </c>
      <c r="GJ48">
        <v>-0.01814858093373864</v>
      </c>
      <c r="GK48">
        <v>0.002091959988359369</v>
      </c>
      <c r="GL48">
        <v>-1.90871700788604E-05</v>
      </c>
      <c r="GM48">
        <v>2</v>
      </c>
      <c r="GN48">
        <v>2210</v>
      </c>
      <c r="GO48">
        <v>1</v>
      </c>
      <c r="GP48">
        <v>26</v>
      </c>
      <c r="GQ48">
        <v>1.6</v>
      </c>
      <c r="GR48">
        <v>4.6</v>
      </c>
      <c r="GS48">
        <v>1.26343</v>
      </c>
      <c r="GT48">
        <v>2.38892</v>
      </c>
      <c r="GU48">
        <v>2.34741</v>
      </c>
      <c r="GV48">
        <v>2.75024</v>
      </c>
      <c r="GW48">
        <v>2.39868</v>
      </c>
      <c r="GX48">
        <v>2.26196</v>
      </c>
      <c r="GY48">
        <v>29.3464</v>
      </c>
      <c r="GZ48">
        <v>13.5629</v>
      </c>
      <c r="HA48">
        <v>18</v>
      </c>
      <c r="HB48">
        <v>758.579</v>
      </c>
      <c r="HC48">
        <v>656.5549999999999</v>
      </c>
      <c r="HD48">
        <v>22.0853</v>
      </c>
      <c r="HE48">
        <v>21.0418</v>
      </c>
      <c r="HF48">
        <v>30.0001</v>
      </c>
      <c r="HG48">
        <v>20.9031</v>
      </c>
      <c r="HH48">
        <v>20.8547</v>
      </c>
      <c r="HI48">
        <v>25.3301</v>
      </c>
      <c r="HJ48">
        <v>29.2455</v>
      </c>
      <c r="HK48">
        <v>15.2687</v>
      </c>
      <c r="HL48">
        <v>-999.9</v>
      </c>
      <c r="HM48">
        <v>405</v>
      </c>
      <c r="HN48">
        <v>13.0705</v>
      </c>
      <c r="HO48">
        <v>100.961</v>
      </c>
      <c r="HP48">
        <v>101.291</v>
      </c>
    </row>
    <row r="49" spans="1:224">
      <c r="A49">
        <v>33</v>
      </c>
      <c r="B49">
        <v>1750700996.5</v>
      </c>
      <c r="C49">
        <v>6133.400000095367</v>
      </c>
      <c r="D49" t="s">
        <v>452</v>
      </c>
      <c r="E49" t="s">
        <v>453</v>
      </c>
      <c r="F49">
        <v>15</v>
      </c>
      <c r="G49">
        <v>1750700988.5</v>
      </c>
      <c r="H49">
        <f>(I49)/1000</f>
        <v>0</v>
      </c>
      <c r="I49">
        <f>IF(BD49, AL49, AF49)</f>
        <v>0</v>
      </c>
      <c r="J49">
        <f>IF(BD49, AG49, AE49)</f>
        <v>0</v>
      </c>
      <c r="K49">
        <f>BF49 - IF(AS49&gt;1, J49*AZ49*100.0/(AU49), 0)</f>
        <v>0</v>
      </c>
      <c r="L49">
        <f>((R49-H49/2)*K49-J49)/(R49+H49/2)</f>
        <v>0</v>
      </c>
      <c r="M49">
        <f>L49*(BM49+BN49)/1000.0</f>
        <v>0</v>
      </c>
      <c r="N49">
        <f>(BF49 - IF(AS49&gt;1, J49*AZ49*100.0/(AU49), 0))*(BM49+BN49)/1000.0</f>
        <v>0</v>
      </c>
      <c r="O49">
        <f>2.0/((1/Q49-1/P49)+SIGN(Q49)*SQRT((1/Q49-1/P49)*(1/Q49-1/P49) + 4*BA49/((BA49+1)*(BA49+1))*(2*1/Q49*1/P49-1/P49*1/P49)))</f>
        <v>0</v>
      </c>
      <c r="P49">
        <f>IF(LEFT(BB49,1)&lt;&gt;"0",IF(LEFT(BB49,1)="1",3.0,BC49),$D$5+$E$5*(BT49*BM49/($K$5*1000))+$F$5*(BT49*BM49/($K$5*1000))*MAX(MIN(AZ49,$J$5),$I$5)*MAX(MIN(AZ49,$J$5),$I$5)+$G$5*MAX(MIN(AZ49,$J$5),$I$5)*(BT49*BM49/($K$5*1000))+$H$5*(BT49*BM49/($K$5*1000))*(BT49*BM49/($K$5*1000)))</f>
        <v>0</v>
      </c>
      <c r="Q49">
        <f>H49*(1000-(1000*0.61365*exp(17.502*U49/(240.97+U49))/(BM49+BN49)+BH49)/2)/(1000*0.61365*exp(17.502*U49/(240.97+U49))/(BM49+BN49)-BH49)</f>
        <v>0</v>
      </c>
      <c r="R49">
        <f>1/((BA49+1)/(O49/1.6)+1/(P49/1.37)) + BA49/((BA49+1)/(O49/1.6) + BA49/(P49/1.37))</f>
        <v>0</v>
      </c>
      <c r="S49">
        <f>(AV49*AY49)</f>
        <v>0</v>
      </c>
      <c r="T49">
        <f>(BO49+(S49+2*0.95*5.67E-8*(((BO49+$B$7)+273)^4-(BO49+273)^4)-44100*H49)/(1.84*29.3*P49+8*0.95*5.67E-8*(BO49+273)^3))</f>
        <v>0</v>
      </c>
      <c r="U49">
        <f>($C$7*BP49+$D$7*BQ49+$E$7*T49)</f>
        <v>0</v>
      </c>
      <c r="V49">
        <f>0.61365*exp(17.502*U49/(240.97+U49))</f>
        <v>0</v>
      </c>
      <c r="W49">
        <f>(X49/Y49*100)</f>
        <v>0</v>
      </c>
      <c r="X49">
        <f>BH49*(BM49+BN49)/1000</f>
        <v>0</v>
      </c>
      <c r="Y49">
        <f>0.61365*exp(17.502*BO49/(240.97+BO49))</f>
        <v>0</v>
      </c>
      <c r="Z49">
        <f>(V49-BH49*(BM49+BN49)/1000)</f>
        <v>0</v>
      </c>
      <c r="AA49">
        <f>(-H49*44100)</f>
        <v>0</v>
      </c>
      <c r="AB49">
        <f>2*29.3*P49*0.92*(BO49-U49)</f>
        <v>0</v>
      </c>
      <c r="AC49">
        <f>2*0.95*5.67E-8*(((BO49+$B$7)+273)^4-(U49+273)^4)</f>
        <v>0</v>
      </c>
      <c r="AD49">
        <f>S49+AC49+AA49+AB49</f>
        <v>0</v>
      </c>
      <c r="AE49">
        <f>BL49*AS49*(BG49-BF49*(1000-AS49*BI49)/(1000-AS49*BH49))/(100*AZ49)</f>
        <v>0</v>
      </c>
      <c r="AF49">
        <f>1000*BL49*AS49*(BH49-BI49)/(100*AZ49*(1000-AS49*BH49))</f>
        <v>0</v>
      </c>
      <c r="AG49">
        <f>(AH49 - AI49 - BM49*1E3/(8.314*(BO49+273.15)) * AK49/BL49 * AJ49) * BL49/(100*AZ49) * (1000 - BI49)/1000</f>
        <v>0</v>
      </c>
      <c r="AH49">
        <v>410.3826544350925</v>
      </c>
      <c r="AI49">
        <v>402.9656242424242</v>
      </c>
      <c r="AJ49">
        <v>-0.001589400144630668</v>
      </c>
      <c r="AK49">
        <v>66.95540062722752</v>
      </c>
      <c r="AL49">
        <f>(AN49 - AM49 + BM49*1E3/(8.314*(BO49+273.15)) * AP49/BL49 * AO49) * BL49/(100*AZ49) * 1000/(1000 - AN49)</f>
        <v>0</v>
      </c>
      <c r="AM49">
        <v>13.14609088048042</v>
      </c>
      <c r="AN49">
        <v>15.07583333333334</v>
      </c>
      <c r="AO49">
        <v>0.005916512691315398</v>
      </c>
      <c r="AP49">
        <v>79.25406251185241</v>
      </c>
      <c r="AQ49">
        <v>163</v>
      </c>
      <c r="AR49">
        <v>20</v>
      </c>
      <c r="AS49">
        <f>IF(AQ49*$H$13&gt;=AU49,1.0,(AU49/(AU49-AQ49*$H$13)))</f>
        <v>0</v>
      </c>
      <c r="AT49">
        <f>(AS49-1)*100</f>
        <v>0</v>
      </c>
      <c r="AU49">
        <f>MAX(0,($B$13+$C$13*BT49)/(1+$D$13*BT49)*BM49/(BO49+273)*$E$13)</f>
        <v>0</v>
      </c>
      <c r="AV49">
        <f>$B$11*BU49+$C$11*BV49+$F$11*CG49*(1-CJ49)</f>
        <v>0</v>
      </c>
      <c r="AW49">
        <f>AV49*AX49</f>
        <v>0</v>
      </c>
      <c r="AX49">
        <f>($B$11*$D$9+$C$11*$D$9+$F$11*((CT49+CL49)/MAX(CT49+CL49+CU49, 0.1)*$I$9+CU49/MAX(CT49+CL49+CU49, 0.1)*$J$9))/($B$11+$C$11+$F$11)</f>
        <v>0</v>
      </c>
      <c r="AY49">
        <f>($B$11*$K$9+$C$11*$K$9+$F$11*((CT49+CL49)/MAX(CT49+CL49+CU49, 0.1)*$P$9+CU49/MAX(CT49+CL49+CU49, 0.1)*$Q$9))/($B$11+$C$11+$F$11)</f>
        <v>0</v>
      </c>
      <c r="AZ49">
        <v>6</v>
      </c>
      <c r="BA49">
        <v>0.5</v>
      </c>
      <c r="BB49" t="s">
        <v>353</v>
      </c>
      <c r="BC49">
        <v>2</v>
      </c>
      <c r="BD49" t="b">
        <v>0</v>
      </c>
      <c r="BE49">
        <v>1750700988.5</v>
      </c>
      <c r="BF49">
        <v>396.9364193548387</v>
      </c>
      <c r="BG49">
        <v>404.9913870967741</v>
      </c>
      <c r="BH49">
        <v>15.02329677419355</v>
      </c>
      <c r="BI49">
        <v>13.09779032258064</v>
      </c>
      <c r="BJ49">
        <v>394.8334193548387</v>
      </c>
      <c r="BK49">
        <v>14.91951612903226</v>
      </c>
      <c r="BL49">
        <v>800.0122580645161</v>
      </c>
      <c r="BM49">
        <v>101.4651290322581</v>
      </c>
      <c r="BN49">
        <v>0.100157964516129</v>
      </c>
      <c r="BO49">
        <v>22.87340967741936</v>
      </c>
      <c r="BP49">
        <v>19.81358064516129</v>
      </c>
      <c r="BQ49">
        <v>999.9000000000003</v>
      </c>
      <c r="BR49">
        <v>0</v>
      </c>
      <c r="BS49">
        <v>0</v>
      </c>
      <c r="BT49">
        <v>10002.95967741935</v>
      </c>
      <c r="BU49">
        <v>0</v>
      </c>
      <c r="BV49">
        <v>0.00152894</v>
      </c>
      <c r="BW49">
        <v>-8.066972903225805</v>
      </c>
      <c r="BX49">
        <v>402.9784516129033</v>
      </c>
      <c r="BY49">
        <v>410.3662258064517</v>
      </c>
      <c r="BZ49">
        <v>1.925512580645161</v>
      </c>
      <c r="CA49">
        <v>404.9913870967741</v>
      </c>
      <c r="CB49">
        <v>13.09779032258064</v>
      </c>
      <c r="CC49">
        <v>1.52433935483871</v>
      </c>
      <c r="CD49">
        <v>1.328968387096774</v>
      </c>
      <c r="CE49">
        <v>13.21447419354839</v>
      </c>
      <c r="CF49">
        <v>11.1304064516129</v>
      </c>
      <c r="CG49">
        <v>1000.046870967742</v>
      </c>
      <c r="CH49">
        <v>0.9599972258064517</v>
      </c>
      <c r="CI49">
        <v>0.04000307096774194</v>
      </c>
      <c r="CJ49">
        <v>0</v>
      </c>
      <c r="CK49">
        <v>2.851451612903226</v>
      </c>
      <c r="CL49">
        <v>0</v>
      </c>
      <c r="CM49">
        <v>9737.410967741936</v>
      </c>
      <c r="CN49">
        <v>7947.274516129032</v>
      </c>
      <c r="CO49">
        <v>36.81835483870967</v>
      </c>
      <c r="CP49">
        <v>39.81229032258064</v>
      </c>
      <c r="CQ49">
        <v>38.25580645161289</v>
      </c>
      <c r="CR49">
        <v>38.90496774193548</v>
      </c>
      <c r="CS49">
        <v>36.84848387096773</v>
      </c>
      <c r="CT49">
        <v>960.0412903225806</v>
      </c>
      <c r="CU49">
        <v>40.00612903225806</v>
      </c>
      <c r="CV49">
        <v>0</v>
      </c>
      <c r="CW49">
        <v>1750701013.4</v>
      </c>
      <c r="CX49">
        <v>0</v>
      </c>
      <c r="CY49">
        <v>1750701014.5</v>
      </c>
      <c r="CZ49" t="s">
        <v>454</v>
      </c>
      <c r="DA49">
        <v>1750701014.5</v>
      </c>
      <c r="DB49">
        <v>1750700573</v>
      </c>
      <c r="DC49">
        <v>31</v>
      </c>
      <c r="DD49">
        <v>0.016</v>
      </c>
      <c r="DE49">
        <v>-0.007</v>
      </c>
      <c r="DF49">
        <v>2.103</v>
      </c>
      <c r="DG49">
        <v>0.082</v>
      </c>
      <c r="DH49">
        <v>405</v>
      </c>
      <c r="DI49">
        <v>14</v>
      </c>
      <c r="DJ49">
        <v>0.29</v>
      </c>
      <c r="DK49">
        <v>0.06</v>
      </c>
      <c r="DL49">
        <v>-8.036720487804878</v>
      </c>
      <c r="DM49">
        <v>-0.4917140069686358</v>
      </c>
      <c r="DN49">
        <v>0.06239328516682223</v>
      </c>
      <c r="DO49">
        <v>0</v>
      </c>
      <c r="DP49">
        <v>1.948360975609757</v>
      </c>
      <c r="DQ49">
        <v>-0.3804257142857127</v>
      </c>
      <c r="DR49">
        <v>0.04169786768864678</v>
      </c>
      <c r="DS49">
        <v>0</v>
      </c>
      <c r="DT49">
        <v>0</v>
      </c>
      <c r="DU49">
        <v>2</v>
      </c>
      <c r="DV49" t="s">
        <v>372</v>
      </c>
      <c r="DW49">
        <v>3.44741</v>
      </c>
      <c r="DX49">
        <v>2.78106</v>
      </c>
      <c r="DY49">
        <v>0.0967204</v>
      </c>
      <c r="DZ49">
        <v>0.0985497</v>
      </c>
      <c r="EA49">
        <v>0.0862098</v>
      </c>
      <c r="EB49">
        <v>0.0777233</v>
      </c>
      <c r="EC49">
        <v>27351.3</v>
      </c>
      <c r="ED49">
        <v>31060</v>
      </c>
      <c r="EE49">
        <v>29401.9</v>
      </c>
      <c r="EF49">
        <v>35032.4</v>
      </c>
      <c r="EG49">
        <v>31072.6</v>
      </c>
      <c r="EH49">
        <v>40131.4</v>
      </c>
      <c r="EI49">
        <v>36197.8</v>
      </c>
      <c r="EJ49">
        <v>46400.8</v>
      </c>
      <c r="EK49">
        <v>2.29895</v>
      </c>
      <c r="EL49">
        <v>2.29575</v>
      </c>
      <c r="EM49">
        <v>-0.0540093</v>
      </c>
      <c r="EN49">
        <v>0</v>
      </c>
      <c r="EO49">
        <v>20.7281</v>
      </c>
      <c r="EP49">
        <v>999.9</v>
      </c>
      <c r="EQ49">
        <v>56.3</v>
      </c>
      <c r="ER49">
        <v>25</v>
      </c>
      <c r="ES49">
        <v>17.6418</v>
      </c>
      <c r="ET49">
        <v>61.6973</v>
      </c>
      <c r="EU49">
        <v>26.4343</v>
      </c>
      <c r="EV49">
        <v>2</v>
      </c>
      <c r="EW49">
        <v>-0.483841</v>
      </c>
      <c r="EX49">
        <v>0</v>
      </c>
      <c r="EY49">
        <v>20.2947</v>
      </c>
      <c r="EZ49">
        <v>5.214</v>
      </c>
      <c r="FA49">
        <v>11.968</v>
      </c>
      <c r="FB49">
        <v>4.99145</v>
      </c>
      <c r="FC49">
        <v>3.27198</v>
      </c>
      <c r="FD49">
        <v>2816.4</v>
      </c>
      <c r="FE49">
        <v>9999</v>
      </c>
      <c r="FF49">
        <v>9999</v>
      </c>
      <c r="FG49">
        <v>999.9</v>
      </c>
      <c r="FH49">
        <v>4.97256</v>
      </c>
      <c r="FI49">
        <v>1.86249</v>
      </c>
      <c r="FJ49">
        <v>1.86425</v>
      </c>
      <c r="FK49">
        <v>1.86264</v>
      </c>
      <c r="FL49">
        <v>1.86274</v>
      </c>
      <c r="FM49">
        <v>1.86326</v>
      </c>
      <c r="FN49">
        <v>1.85978</v>
      </c>
      <c r="FO49">
        <v>1.86263</v>
      </c>
      <c r="FP49">
        <v>0</v>
      </c>
      <c r="FQ49">
        <v>0</v>
      </c>
      <c r="FR49">
        <v>0</v>
      </c>
      <c r="FS49">
        <v>0</v>
      </c>
      <c r="FT49" t="s">
        <v>356</v>
      </c>
      <c r="FU49" t="s">
        <v>357</v>
      </c>
      <c r="FV49" t="s">
        <v>358</v>
      </c>
      <c r="FW49" t="s">
        <v>358</v>
      </c>
      <c r="FX49" t="s">
        <v>358</v>
      </c>
      <c r="FY49" t="s">
        <v>358</v>
      </c>
      <c r="FZ49">
        <v>0</v>
      </c>
      <c r="GA49">
        <v>100</v>
      </c>
      <c r="GB49">
        <v>100</v>
      </c>
      <c r="GC49">
        <v>2.103</v>
      </c>
      <c r="GD49">
        <v>0.1055</v>
      </c>
      <c r="GE49">
        <v>2.3708277433713</v>
      </c>
      <c r="GF49">
        <v>-0.001033730503750798</v>
      </c>
      <c r="GG49">
        <v>9.120241388950126E-07</v>
      </c>
      <c r="GH49">
        <v>-2.246115299815222E-10</v>
      </c>
      <c r="GI49">
        <v>-0.02770979862019771</v>
      </c>
      <c r="GJ49">
        <v>-0.01814858093373864</v>
      </c>
      <c r="GK49">
        <v>0.002091959988359369</v>
      </c>
      <c r="GL49">
        <v>-1.90871700788604E-05</v>
      </c>
      <c r="GM49">
        <v>2</v>
      </c>
      <c r="GN49">
        <v>2210</v>
      </c>
      <c r="GO49">
        <v>1</v>
      </c>
      <c r="GP49">
        <v>26</v>
      </c>
      <c r="GQ49">
        <v>2</v>
      </c>
      <c r="GR49">
        <v>7.1</v>
      </c>
      <c r="GS49">
        <v>1.26343</v>
      </c>
      <c r="GT49">
        <v>2.38892</v>
      </c>
      <c r="GU49">
        <v>2.34741</v>
      </c>
      <c r="GV49">
        <v>2.75269</v>
      </c>
      <c r="GW49">
        <v>2.39868</v>
      </c>
      <c r="GX49">
        <v>2.27905</v>
      </c>
      <c r="GY49">
        <v>29.3676</v>
      </c>
      <c r="GZ49">
        <v>13.5541</v>
      </c>
      <c r="HA49">
        <v>18</v>
      </c>
      <c r="HB49">
        <v>608.346</v>
      </c>
      <c r="HC49">
        <v>657.73</v>
      </c>
      <c r="HD49">
        <v>22.0842</v>
      </c>
      <c r="HE49">
        <v>21.0552</v>
      </c>
      <c r="HF49">
        <v>30.0001</v>
      </c>
      <c r="HG49">
        <v>20.9314</v>
      </c>
      <c r="HH49">
        <v>20.8827</v>
      </c>
      <c r="HI49">
        <v>25.335</v>
      </c>
      <c r="HJ49">
        <v>28.5148</v>
      </c>
      <c r="HK49">
        <v>14.1472</v>
      </c>
      <c r="HL49">
        <v>-999.9</v>
      </c>
      <c r="HM49">
        <v>405</v>
      </c>
      <c r="HN49">
        <v>13.2075</v>
      </c>
      <c r="HO49">
        <v>100.956</v>
      </c>
      <c r="HP49">
        <v>101.29</v>
      </c>
    </row>
    <row r="50" spans="1:224">
      <c r="A50">
        <v>34</v>
      </c>
      <c r="B50">
        <v>1750701117.5</v>
      </c>
      <c r="C50">
        <v>6254.400000095367</v>
      </c>
      <c r="D50" t="s">
        <v>455</v>
      </c>
      <c r="E50" t="s">
        <v>456</v>
      </c>
      <c r="F50">
        <v>15</v>
      </c>
      <c r="G50">
        <v>1750701109.5</v>
      </c>
      <c r="H50">
        <f>(I50)/1000</f>
        <v>0</v>
      </c>
      <c r="I50">
        <f>IF(BD50, AL50, AF50)</f>
        <v>0</v>
      </c>
      <c r="J50">
        <f>IF(BD50, AG50, AE50)</f>
        <v>0</v>
      </c>
      <c r="K50">
        <f>BF50 - IF(AS50&gt;1, J50*AZ50*100.0/(AU50), 0)</f>
        <v>0</v>
      </c>
      <c r="L50">
        <f>((R50-H50/2)*K50-J50)/(R50+H50/2)</f>
        <v>0</v>
      </c>
      <c r="M50">
        <f>L50*(BM50+BN50)/1000.0</f>
        <v>0</v>
      </c>
      <c r="N50">
        <f>(BF50 - IF(AS50&gt;1, J50*AZ50*100.0/(AU50), 0))*(BM50+BN50)/1000.0</f>
        <v>0</v>
      </c>
      <c r="O50">
        <f>2.0/((1/Q50-1/P50)+SIGN(Q50)*SQRT((1/Q50-1/P50)*(1/Q50-1/P50) + 4*BA50/((BA50+1)*(BA50+1))*(2*1/Q50*1/P50-1/P50*1/P50)))</f>
        <v>0</v>
      </c>
      <c r="P50">
        <f>IF(LEFT(BB50,1)&lt;&gt;"0",IF(LEFT(BB50,1)="1",3.0,BC50),$D$5+$E$5*(BT50*BM50/($K$5*1000))+$F$5*(BT50*BM50/($K$5*1000))*MAX(MIN(AZ50,$J$5),$I$5)*MAX(MIN(AZ50,$J$5),$I$5)+$G$5*MAX(MIN(AZ50,$J$5),$I$5)*(BT50*BM50/($K$5*1000))+$H$5*(BT50*BM50/($K$5*1000))*(BT50*BM50/($K$5*1000)))</f>
        <v>0</v>
      </c>
      <c r="Q50">
        <f>H50*(1000-(1000*0.61365*exp(17.502*U50/(240.97+U50))/(BM50+BN50)+BH50)/2)/(1000*0.61365*exp(17.502*U50/(240.97+U50))/(BM50+BN50)-BH50)</f>
        <v>0</v>
      </c>
      <c r="R50">
        <f>1/((BA50+1)/(O50/1.6)+1/(P50/1.37)) + BA50/((BA50+1)/(O50/1.6) + BA50/(P50/1.37))</f>
        <v>0</v>
      </c>
      <c r="S50">
        <f>(AV50*AY50)</f>
        <v>0</v>
      </c>
      <c r="T50">
        <f>(BO50+(S50+2*0.95*5.67E-8*(((BO50+$B$7)+273)^4-(BO50+273)^4)-44100*H50)/(1.84*29.3*P50+8*0.95*5.67E-8*(BO50+273)^3))</f>
        <v>0</v>
      </c>
      <c r="U50">
        <f>($C$7*BP50+$D$7*BQ50+$E$7*T50)</f>
        <v>0</v>
      </c>
      <c r="V50">
        <f>0.61365*exp(17.502*U50/(240.97+U50))</f>
        <v>0</v>
      </c>
      <c r="W50">
        <f>(X50/Y50*100)</f>
        <v>0</v>
      </c>
      <c r="X50">
        <f>BH50*(BM50+BN50)/1000</f>
        <v>0</v>
      </c>
      <c r="Y50">
        <f>0.61365*exp(17.502*BO50/(240.97+BO50))</f>
        <v>0</v>
      </c>
      <c r="Z50">
        <f>(V50-BH50*(BM50+BN50)/1000)</f>
        <v>0</v>
      </c>
      <c r="AA50">
        <f>(-H50*44100)</f>
        <v>0</v>
      </c>
      <c r="AB50">
        <f>2*29.3*P50*0.92*(BO50-U50)</f>
        <v>0</v>
      </c>
      <c r="AC50">
        <f>2*0.95*5.67E-8*(((BO50+$B$7)+273)^4-(U50+273)^4)</f>
        <v>0</v>
      </c>
      <c r="AD50">
        <f>S50+AC50+AA50+AB50</f>
        <v>0</v>
      </c>
      <c r="AE50">
        <f>BL50*AS50*(BG50-BF50*(1000-AS50*BI50)/(1000-AS50*BH50))/(100*AZ50)</f>
        <v>0</v>
      </c>
      <c r="AF50">
        <f>1000*BL50*AS50*(BH50-BI50)/(100*AZ50*(1000-AS50*BH50))</f>
        <v>0</v>
      </c>
      <c r="AG50">
        <f>(AH50 - AI50 - BM50*1E3/(8.314*(BO50+273.15)) * AK50/BL50 * AJ50) * BL50/(100*AZ50) * (1000 - BI50)/1000</f>
        <v>0</v>
      </c>
      <c r="AH50">
        <v>410.9652703616983</v>
      </c>
      <c r="AI50">
        <v>409.8325818181818</v>
      </c>
      <c r="AJ50">
        <v>0.02140402589825989</v>
      </c>
      <c r="AK50">
        <v>66.95515607589849</v>
      </c>
      <c r="AL50">
        <f>(AN50 - AM50 + BM50*1E3/(8.314*(BO50+273.15)) * AP50/BL50 * AO50) * BL50/(100*AZ50) * 1000/(1000 - AN50)</f>
        <v>0</v>
      </c>
      <c r="AM50">
        <v>14.63538605507959</v>
      </c>
      <c r="AN50">
        <v>15.25215212121213</v>
      </c>
      <c r="AO50">
        <v>0.005505501155852842</v>
      </c>
      <c r="AP50">
        <v>79.25918544953853</v>
      </c>
      <c r="AQ50">
        <v>225</v>
      </c>
      <c r="AR50">
        <v>28</v>
      </c>
      <c r="AS50">
        <f>IF(AQ50*$H$13&gt;=AU50,1.0,(AU50/(AU50-AQ50*$H$13)))</f>
        <v>0</v>
      </c>
      <c r="AT50">
        <f>(AS50-1)*100</f>
        <v>0</v>
      </c>
      <c r="AU50">
        <f>MAX(0,($B$13+$C$13*BT50)/(1+$D$13*BT50)*BM50/(BO50+273)*$E$13)</f>
        <v>0</v>
      </c>
      <c r="AV50">
        <f>$B$11*BU50+$C$11*BV50+$F$11*CG50*(1-CJ50)</f>
        <v>0</v>
      </c>
      <c r="AW50">
        <f>AV50*AX50</f>
        <v>0</v>
      </c>
      <c r="AX50">
        <f>($B$11*$D$9+$C$11*$D$9+$F$11*((CT50+CL50)/MAX(CT50+CL50+CU50, 0.1)*$I$9+CU50/MAX(CT50+CL50+CU50, 0.1)*$J$9))/($B$11+$C$11+$F$11)</f>
        <v>0</v>
      </c>
      <c r="AY50">
        <f>($B$11*$K$9+$C$11*$K$9+$F$11*((CT50+CL50)/MAX(CT50+CL50+CU50, 0.1)*$P$9+CU50/MAX(CT50+CL50+CU50, 0.1)*$Q$9))/($B$11+$C$11+$F$11)</f>
        <v>0</v>
      </c>
      <c r="AZ50">
        <v>6</v>
      </c>
      <c r="BA50">
        <v>0.5</v>
      </c>
      <c r="BB50" t="s">
        <v>353</v>
      </c>
      <c r="BC50">
        <v>2</v>
      </c>
      <c r="BD50" t="b">
        <v>0</v>
      </c>
      <c r="BE50">
        <v>1750701109.5</v>
      </c>
      <c r="BF50">
        <v>403.554935483871</v>
      </c>
      <c r="BG50">
        <v>404.973806451613</v>
      </c>
      <c r="BH50">
        <v>15.20439032258065</v>
      </c>
      <c r="BI50">
        <v>14.60074516129032</v>
      </c>
      <c r="BJ50">
        <v>401.4449354838709</v>
      </c>
      <c r="BK50">
        <v>15.10539032258065</v>
      </c>
      <c r="BL50">
        <v>799.9988064516127</v>
      </c>
      <c r="BM50">
        <v>101.4669677419355</v>
      </c>
      <c r="BN50">
        <v>0.09985476774193547</v>
      </c>
      <c r="BO50">
        <v>23.07087741935484</v>
      </c>
      <c r="BP50">
        <v>20.23985806451613</v>
      </c>
      <c r="BQ50">
        <v>999.9000000000003</v>
      </c>
      <c r="BR50">
        <v>0</v>
      </c>
      <c r="BS50">
        <v>0</v>
      </c>
      <c r="BT50">
        <v>10011.96193548387</v>
      </c>
      <c r="BU50">
        <v>0</v>
      </c>
      <c r="BV50">
        <v>0.00152894</v>
      </c>
      <c r="BW50">
        <v>-1.425050645161291</v>
      </c>
      <c r="BX50">
        <v>409.7836129032258</v>
      </c>
      <c r="BY50">
        <v>410.9743870967742</v>
      </c>
      <c r="BZ50">
        <v>0.6143483548387098</v>
      </c>
      <c r="CA50">
        <v>404.973806451613</v>
      </c>
      <c r="CB50">
        <v>14.60074516129032</v>
      </c>
      <c r="CC50">
        <v>1.543827096774193</v>
      </c>
      <c r="CD50">
        <v>1.48149</v>
      </c>
      <c r="CE50">
        <v>13.40924516129032</v>
      </c>
      <c r="CF50">
        <v>12.77843548387097</v>
      </c>
      <c r="CG50">
        <v>999.9772580645159</v>
      </c>
      <c r="CH50">
        <v>0.9599874193548391</v>
      </c>
      <c r="CI50">
        <v>0.04001287096774194</v>
      </c>
      <c r="CJ50">
        <v>0</v>
      </c>
      <c r="CK50">
        <v>1.796774193548387</v>
      </c>
      <c r="CL50">
        <v>0</v>
      </c>
      <c r="CM50">
        <v>3937.465806451613</v>
      </c>
      <c r="CN50">
        <v>7946.693870967742</v>
      </c>
      <c r="CO50">
        <v>37.81822580645161</v>
      </c>
      <c r="CP50">
        <v>40.9776129032258</v>
      </c>
      <c r="CQ50">
        <v>39.21341935483871</v>
      </c>
      <c r="CR50">
        <v>40.66916129032258</v>
      </c>
      <c r="CS50">
        <v>37.81829032258064</v>
      </c>
      <c r="CT50">
        <v>959.9670967741937</v>
      </c>
      <c r="CU50">
        <v>40.01</v>
      </c>
      <c r="CV50">
        <v>0</v>
      </c>
      <c r="CW50">
        <v>1750701134.6</v>
      </c>
      <c r="CX50">
        <v>0</v>
      </c>
      <c r="CY50">
        <v>1750701134.5</v>
      </c>
      <c r="CZ50" t="s">
        <v>457</v>
      </c>
      <c r="DA50">
        <v>1750701133.5</v>
      </c>
      <c r="DB50">
        <v>1750701134.5</v>
      </c>
      <c r="DC50">
        <v>32</v>
      </c>
      <c r="DD50">
        <v>0.007</v>
      </c>
      <c r="DE50">
        <v>0.007</v>
      </c>
      <c r="DF50">
        <v>2.11</v>
      </c>
      <c r="DG50">
        <v>0.099</v>
      </c>
      <c r="DH50">
        <v>405</v>
      </c>
      <c r="DI50">
        <v>15</v>
      </c>
      <c r="DJ50">
        <v>0.25</v>
      </c>
      <c r="DK50">
        <v>0.09</v>
      </c>
      <c r="DL50">
        <v>-1.423296829268293</v>
      </c>
      <c r="DM50">
        <v>-0.06290592334495017</v>
      </c>
      <c r="DN50">
        <v>0.03223243423596377</v>
      </c>
      <c r="DO50">
        <v>1</v>
      </c>
      <c r="DP50">
        <v>0.6118057073170733</v>
      </c>
      <c r="DQ50">
        <v>-0.01558716376306485</v>
      </c>
      <c r="DR50">
        <v>0.0139796997669075</v>
      </c>
      <c r="DS50">
        <v>1</v>
      </c>
      <c r="DT50">
        <v>2</v>
      </c>
      <c r="DU50">
        <v>2</v>
      </c>
      <c r="DV50" t="s">
        <v>362</v>
      </c>
      <c r="DW50">
        <v>3.44809</v>
      </c>
      <c r="DX50">
        <v>2.78079</v>
      </c>
      <c r="DY50">
        <v>0.0979699</v>
      </c>
      <c r="DZ50">
        <v>0.0985557</v>
      </c>
      <c r="EA50">
        <v>0.08694259999999999</v>
      </c>
      <c r="EB50">
        <v>0.0840967</v>
      </c>
      <c r="EC50">
        <v>27314.8</v>
      </c>
      <c r="ED50">
        <v>31059.5</v>
      </c>
      <c r="EE50">
        <v>29403.3</v>
      </c>
      <c r="EF50">
        <v>35031.9</v>
      </c>
      <c r="EG50">
        <v>31049</v>
      </c>
      <c r="EH50">
        <v>39852.6</v>
      </c>
      <c r="EI50">
        <v>36200</v>
      </c>
      <c r="EJ50">
        <v>46400.2</v>
      </c>
      <c r="EK50">
        <v>2.18533</v>
      </c>
      <c r="EL50">
        <v>2.29985</v>
      </c>
      <c r="EM50">
        <v>-0.0304915</v>
      </c>
      <c r="EN50">
        <v>0</v>
      </c>
      <c r="EO50">
        <v>20.7901</v>
      </c>
      <c r="EP50">
        <v>999.9</v>
      </c>
      <c r="EQ50">
        <v>55.9</v>
      </c>
      <c r="ER50">
        <v>25.1</v>
      </c>
      <c r="ES50">
        <v>17.6217</v>
      </c>
      <c r="ET50">
        <v>61.5073</v>
      </c>
      <c r="EU50">
        <v>26.3542</v>
      </c>
      <c r="EV50">
        <v>2</v>
      </c>
      <c r="EW50">
        <v>-0.484627</v>
      </c>
      <c r="EX50">
        <v>0</v>
      </c>
      <c r="EY50">
        <v>20.2949</v>
      </c>
      <c r="EZ50">
        <v>5.21489</v>
      </c>
      <c r="FA50">
        <v>11.968</v>
      </c>
      <c r="FB50">
        <v>4.99155</v>
      </c>
      <c r="FC50">
        <v>3.272</v>
      </c>
      <c r="FD50">
        <v>2820</v>
      </c>
      <c r="FE50">
        <v>9999</v>
      </c>
      <c r="FF50">
        <v>9999</v>
      </c>
      <c r="FG50">
        <v>999.9</v>
      </c>
      <c r="FH50">
        <v>4.97257</v>
      </c>
      <c r="FI50">
        <v>1.86249</v>
      </c>
      <c r="FJ50">
        <v>1.86426</v>
      </c>
      <c r="FK50">
        <v>1.86265</v>
      </c>
      <c r="FL50">
        <v>1.86271</v>
      </c>
      <c r="FM50">
        <v>1.86329</v>
      </c>
      <c r="FN50">
        <v>1.85979</v>
      </c>
      <c r="FO50">
        <v>1.86263</v>
      </c>
      <c r="FP50">
        <v>0</v>
      </c>
      <c r="FQ50">
        <v>0</v>
      </c>
      <c r="FR50">
        <v>0</v>
      </c>
      <c r="FS50">
        <v>0</v>
      </c>
      <c r="FT50" t="s">
        <v>356</v>
      </c>
      <c r="FU50" t="s">
        <v>357</v>
      </c>
      <c r="FV50" t="s">
        <v>358</v>
      </c>
      <c r="FW50" t="s">
        <v>358</v>
      </c>
      <c r="FX50" t="s">
        <v>358</v>
      </c>
      <c r="FY50" t="s">
        <v>358</v>
      </c>
      <c r="FZ50">
        <v>0</v>
      </c>
      <c r="GA50">
        <v>100</v>
      </c>
      <c r="GB50">
        <v>100</v>
      </c>
      <c r="GC50">
        <v>2.11</v>
      </c>
      <c r="GD50">
        <v>0.099</v>
      </c>
      <c r="GE50">
        <v>2.386301212585285</v>
      </c>
      <c r="GF50">
        <v>-0.001033730503750798</v>
      </c>
      <c r="GG50">
        <v>9.120241388950126E-07</v>
      </c>
      <c r="GH50">
        <v>-2.246115299815222E-10</v>
      </c>
      <c r="GI50">
        <v>-0.02770979862019771</v>
      </c>
      <c r="GJ50">
        <v>-0.01814858093373864</v>
      </c>
      <c r="GK50">
        <v>0.002091959988359369</v>
      </c>
      <c r="GL50">
        <v>-1.90871700788604E-05</v>
      </c>
      <c r="GM50">
        <v>2</v>
      </c>
      <c r="GN50">
        <v>2210</v>
      </c>
      <c r="GO50">
        <v>1</v>
      </c>
      <c r="GP50">
        <v>26</v>
      </c>
      <c r="GQ50">
        <v>1.7</v>
      </c>
      <c r="GR50">
        <v>9.1</v>
      </c>
      <c r="GS50">
        <v>1.26465</v>
      </c>
      <c r="GT50">
        <v>2.38892</v>
      </c>
      <c r="GU50">
        <v>2.34863</v>
      </c>
      <c r="GV50">
        <v>2.75146</v>
      </c>
      <c r="GW50">
        <v>2.39868</v>
      </c>
      <c r="GX50">
        <v>2.23877</v>
      </c>
      <c r="GY50">
        <v>29.3464</v>
      </c>
      <c r="GZ50">
        <v>13.5279</v>
      </c>
      <c r="HA50">
        <v>18</v>
      </c>
      <c r="HB50">
        <v>535.761</v>
      </c>
      <c r="HC50">
        <v>661.056</v>
      </c>
      <c r="HD50">
        <v>22.0893</v>
      </c>
      <c r="HE50">
        <v>21.0525</v>
      </c>
      <c r="HF50">
        <v>30</v>
      </c>
      <c r="HG50">
        <v>20.9353</v>
      </c>
      <c r="HH50">
        <v>20.8846</v>
      </c>
      <c r="HI50">
        <v>25.3679</v>
      </c>
      <c r="HJ50">
        <v>21.2374</v>
      </c>
      <c r="HK50">
        <v>13.7629</v>
      </c>
      <c r="HL50">
        <v>-999.9</v>
      </c>
      <c r="HM50">
        <v>405</v>
      </c>
      <c r="HN50">
        <v>14.7001</v>
      </c>
      <c r="HO50">
        <v>100.961</v>
      </c>
      <c r="HP50">
        <v>101.289</v>
      </c>
    </row>
    <row r="51" spans="1:224">
      <c r="A51">
        <v>35</v>
      </c>
      <c r="B51">
        <v>1750701214</v>
      </c>
      <c r="C51">
        <v>6350.900000095367</v>
      </c>
      <c r="D51" t="s">
        <v>458</v>
      </c>
      <c r="E51" t="s">
        <v>459</v>
      </c>
      <c r="F51">
        <v>15</v>
      </c>
      <c r="G51">
        <v>1750701206.25</v>
      </c>
      <c r="H51">
        <f>(I51)/1000</f>
        <v>0</v>
      </c>
      <c r="I51">
        <f>IF(BD51, AL51, AF51)</f>
        <v>0</v>
      </c>
      <c r="J51">
        <f>IF(BD51, AG51, AE51)</f>
        <v>0</v>
      </c>
      <c r="K51">
        <f>BF51 - IF(AS51&gt;1, J51*AZ51*100.0/(AU51), 0)</f>
        <v>0</v>
      </c>
      <c r="L51">
        <f>((R51-H51/2)*K51-J51)/(R51+H51/2)</f>
        <v>0</v>
      </c>
      <c r="M51">
        <f>L51*(BM51+BN51)/1000.0</f>
        <v>0</v>
      </c>
      <c r="N51">
        <f>(BF51 - IF(AS51&gt;1, J51*AZ51*100.0/(AU51), 0))*(BM51+BN51)/1000.0</f>
        <v>0</v>
      </c>
      <c r="O51">
        <f>2.0/((1/Q51-1/P51)+SIGN(Q51)*SQRT((1/Q51-1/P51)*(1/Q51-1/P51) + 4*BA51/((BA51+1)*(BA51+1))*(2*1/Q51*1/P51-1/P51*1/P51)))</f>
        <v>0</v>
      </c>
      <c r="P51">
        <f>IF(LEFT(BB51,1)&lt;&gt;"0",IF(LEFT(BB51,1)="1",3.0,BC51),$D$5+$E$5*(BT51*BM51/($K$5*1000))+$F$5*(BT51*BM51/($K$5*1000))*MAX(MIN(AZ51,$J$5),$I$5)*MAX(MIN(AZ51,$J$5),$I$5)+$G$5*MAX(MIN(AZ51,$J$5),$I$5)*(BT51*BM51/($K$5*1000))+$H$5*(BT51*BM51/($K$5*1000))*(BT51*BM51/($K$5*1000)))</f>
        <v>0</v>
      </c>
      <c r="Q51">
        <f>H51*(1000-(1000*0.61365*exp(17.502*U51/(240.97+U51))/(BM51+BN51)+BH51)/2)/(1000*0.61365*exp(17.502*U51/(240.97+U51))/(BM51+BN51)-BH51)</f>
        <v>0</v>
      </c>
      <c r="R51">
        <f>1/((BA51+1)/(O51/1.6)+1/(P51/1.37)) + BA51/((BA51+1)/(O51/1.6) + BA51/(P51/1.37))</f>
        <v>0</v>
      </c>
      <c r="S51">
        <f>(AV51*AY51)</f>
        <v>0</v>
      </c>
      <c r="T51">
        <f>(BO51+(S51+2*0.95*5.67E-8*(((BO51+$B$7)+273)^4-(BO51+273)^4)-44100*H51)/(1.84*29.3*P51+8*0.95*5.67E-8*(BO51+273)^3))</f>
        <v>0</v>
      </c>
      <c r="U51">
        <f>($C$7*BP51+$D$7*BQ51+$E$7*T51)</f>
        <v>0</v>
      </c>
      <c r="V51">
        <f>0.61365*exp(17.502*U51/(240.97+U51))</f>
        <v>0</v>
      </c>
      <c r="W51">
        <f>(X51/Y51*100)</f>
        <v>0</v>
      </c>
      <c r="X51">
        <f>BH51*(BM51+BN51)/1000</f>
        <v>0</v>
      </c>
      <c r="Y51">
        <f>0.61365*exp(17.502*BO51/(240.97+BO51))</f>
        <v>0</v>
      </c>
      <c r="Z51">
        <f>(V51-BH51*(BM51+BN51)/1000)</f>
        <v>0</v>
      </c>
      <c r="AA51">
        <f>(-H51*44100)</f>
        <v>0</v>
      </c>
      <c r="AB51">
        <f>2*29.3*P51*0.92*(BO51-U51)</f>
        <v>0</v>
      </c>
      <c r="AC51">
        <f>2*0.95*5.67E-8*(((BO51+$B$7)+273)^4-(U51+273)^4)</f>
        <v>0</v>
      </c>
      <c r="AD51">
        <f>S51+AC51+AA51+AB51</f>
        <v>0</v>
      </c>
      <c r="AE51">
        <f>BL51*AS51*(BG51-BF51*(1000-AS51*BI51)/(1000-AS51*BH51))/(100*AZ51)</f>
        <v>0</v>
      </c>
      <c r="AF51">
        <f>1000*BL51*AS51*(BH51-BI51)/(100*AZ51*(1000-AS51*BH51))</f>
        <v>0</v>
      </c>
      <c r="AG51">
        <f>(AH51 - AI51 - BM51*1E3/(8.314*(BO51+273.15)) * AK51/BL51 * AJ51) * BL51/(100*AZ51) * (1000 - BI51)/1000</f>
        <v>0</v>
      </c>
      <c r="AH51">
        <v>411.1192932346432</v>
      </c>
      <c r="AI51">
        <v>421.6611757575757</v>
      </c>
      <c r="AJ51">
        <v>-0.01437301360874557</v>
      </c>
      <c r="AK51">
        <v>66.95628908294394</v>
      </c>
      <c r="AL51">
        <f>(AN51 - AM51 + BM51*1E3/(8.314*(BO51+273.15)) * AP51/BL51 * AO51) * BL51/(100*AZ51) * 1000/(1000 - AN51)</f>
        <v>0</v>
      </c>
      <c r="AM51">
        <v>14.9359519582403</v>
      </c>
      <c r="AN51">
        <v>14.70446606060606</v>
      </c>
      <c r="AO51">
        <v>-6.786444501275598E-06</v>
      </c>
      <c r="AP51">
        <v>79.14476737476245</v>
      </c>
      <c r="AQ51">
        <v>801</v>
      </c>
      <c r="AR51">
        <v>100</v>
      </c>
      <c r="AS51">
        <f>IF(AQ51*$H$13&gt;=AU51,1.0,(AU51/(AU51-AQ51*$H$13)))</f>
        <v>0</v>
      </c>
      <c r="AT51">
        <f>(AS51-1)*100</f>
        <v>0</v>
      </c>
      <c r="AU51">
        <f>MAX(0,($B$13+$C$13*BT51)/(1+$D$13*BT51)*BM51/(BO51+273)*$E$13)</f>
        <v>0</v>
      </c>
      <c r="AV51">
        <f>$B$11*BU51+$C$11*BV51+$F$11*CG51*(1-CJ51)</f>
        <v>0</v>
      </c>
      <c r="AW51">
        <f>AV51*AX51</f>
        <v>0</v>
      </c>
      <c r="AX51">
        <f>($B$11*$D$9+$C$11*$D$9+$F$11*((CT51+CL51)/MAX(CT51+CL51+CU51, 0.1)*$I$9+CU51/MAX(CT51+CL51+CU51, 0.1)*$J$9))/($B$11+$C$11+$F$11)</f>
        <v>0</v>
      </c>
      <c r="AY51">
        <f>($B$11*$K$9+$C$11*$K$9+$F$11*((CT51+CL51)/MAX(CT51+CL51+CU51, 0.1)*$P$9+CU51/MAX(CT51+CL51+CU51, 0.1)*$Q$9))/($B$11+$C$11+$F$11)</f>
        <v>0</v>
      </c>
      <c r="AZ51">
        <v>6</v>
      </c>
      <c r="BA51">
        <v>0.5</v>
      </c>
      <c r="BB51" t="s">
        <v>353</v>
      </c>
      <c r="BC51">
        <v>2</v>
      </c>
      <c r="BD51" t="b">
        <v>0</v>
      </c>
      <c r="BE51">
        <v>1750701206.25</v>
      </c>
      <c r="BF51">
        <v>415.5158333333333</v>
      </c>
      <c r="BG51">
        <v>404.9810333333334</v>
      </c>
      <c r="BH51">
        <v>14.71238666666667</v>
      </c>
      <c r="BI51">
        <v>14.93193</v>
      </c>
      <c r="BJ51">
        <v>413.4100333333333</v>
      </c>
      <c r="BK51">
        <v>14.60238666666667</v>
      </c>
      <c r="BL51">
        <v>799.7924333333333</v>
      </c>
      <c r="BM51">
        <v>101.4673666666667</v>
      </c>
      <c r="BN51">
        <v>0.08466296666666666</v>
      </c>
      <c r="BO51">
        <v>23.08611666666666</v>
      </c>
      <c r="BP51">
        <v>22.65774</v>
      </c>
      <c r="BQ51">
        <v>999.9000000000002</v>
      </c>
      <c r="BR51">
        <v>0</v>
      </c>
      <c r="BS51">
        <v>0</v>
      </c>
      <c r="BT51">
        <v>10002.739</v>
      </c>
      <c r="BU51">
        <v>0</v>
      </c>
      <c r="BV51">
        <v>0.00152894</v>
      </c>
      <c r="BW51">
        <v>10.53487333333333</v>
      </c>
      <c r="BX51">
        <v>421.7164</v>
      </c>
      <c r="BY51">
        <v>411.1197</v>
      </c>
      <c r="BZ51">
        <v>-0.2286631</v>
      </c>
      <c r="CA51">
        <v>404.9810333333334</v>
      </c>
      <c r="CB51">
        <v>14.93193</v>
      </c>
      <c r="CC51">
        <v>1.491901333333333</v>
      </c>
      <c r="CD51">
        <v>1.515104</v>
      </c>
      <c r="CE51">
        <v>12.88541666666666</v>
      </c>
      <c r="CF51">
        <v>13.12143333333333</v>
      </c>
      <c r="CG51">
        <v>999.9668333333332</v>
      </c>
      <c r="CH51">
        <v>0.9599891666666667</v>
      </c>
      <c r="CI51">
        <v>0.04001065333333333</v>
      </c>
      <c r="CJ51">
        <v>0</v>
      </c>
      <c r="CK51">
        <v>0.2808333333333334</v>
      </c>
      <c r="CL51">
        <v>0</v>
      </c>
      <c r="CM51">
        <v>4431.958666666666</v>
      </c>
      <c r="CN51">
        <v>7946.616666666666</v>
      </c>
      <c r="CO51">
        <v>38.52479999999999</v>
      </c>
      <c r="CP51">
        <v>41.60813333333332</v>
      </c>
      <c r="CQ51">
        <v>39.90806666666665</v>
      </c>
      <c r="CR51">
        <v>41.62893333333331</v>
      </c>
      <c r="CS51">
        <v>38.49979999999999</v>
      </c>
      <c r="CT51">
        <v>959.9560000000002</v>
      </c>
      <c r="CU51">
        <v>40.01</v>
      </c>
      <c r="CV51">
        <v>0</v>
      </c>
      <c r="CW51">
        <v>1750701231.2</v>
      </c>
      <c r="CX51">
        <v>0</v>
      </c>
      <c r="CY51">
        <v>1750701231</v>
      </c>
      <c r="CZ51" t="s">
        <v>460</v>
      </c>
      <c r="DA51">
        <v>1750701133.5</v>
      </c>
      <c r="DB51">
        <v>1750701231</v>
      </c>
      <c r="DC51">
        <v>33</v>
      </c>
      <c r="DD51">
        <v>0.007</v>
      </c>
      <c r="DE51">
        <v>0.002</v>
      </c>
      <c r="DF51">
        <v>2.11</v>
      </c>
      <c r="DG51">
        <v>0.11</v>
      </c>
      <c r="DH51">
        <v>405</v>
      </c>
      <c r="DI51">
        <v>15</v>
      </c>
      <c r="DJ51">
        <v>0.25</v>
      </c>
      <c r="DK51">
        <v>0.19</v>
      </c>
      <c r="DL51">
        <v>10.5332625</v>
      </c>
      <c r="DM51">
        <v>0.07481538461537043</v>
      </c>
      <c r="DN51">
        <v>0.03592202449403418</v>
      </c>
      <c r="DO51">
        <v>1</v>
      </c>
      <c r="DP51">
        <v>-0.227773775</v>
      </c>
      <c r="DQ51">
        <v>-0.02477458536585364</v>
      </c>
      <c r="DR51">
        <v>0.00256616246063553</v>
      </c>
      <c r="DS51">
        <v>1</v>
      </c>
      <c r="DT51">
        <v>2</v>
      </c>
      <c r="DU51">
        <v>2</v>
      </c>
      <c r="DV51" t="s">
        <v>362</v>
      </c>
      <c r="DW51">
        <v>3.44811</v>
      </c>
      <c r="DX51">
        <v>2.76748</v>
      </c>
      <c r="DY51">
        <v>0.100121</v>
      </c>
      <c r="DZ51">
        <v>0.0985654</v>
      </c>
      <c r="EA51">
        <v>0.0846075</v>
      </c>
      <c r="EB51">
        <v>0.08535470000000001</v>
      </c>
      <c r="EC51">
        <v>27250.8</v>
      </c>
      <c r="ED51">
        <v>31060.4</v>
      </c>
      <c r="EE51">
        <v>29404.4</v>
      </c>
      <c r="EF51">
        <v>35033.2</v>
      </c>
      <c r="EG51">
        <v>31131.4</v>
      </c>
      <c r="EH51">
        <v>39799.3</v>
      </c>
      <c r="EI51">
        <v>36201.6</v>
      </c>
      <c r="EJ51">
        <v>46402</v>
      </c>
      <c r="EK51">
        <v>0.284</v>
      </c>
      <c r="EL51">
        <v>2.3015</v>
      </c>
      <c r="EM51">
        <v>0.111751</v>
      </c>
      <c r="EN51">
        <v>0</v>
      </c>
      <c r="EO51">
        <v>20.8297</v>
      </c>
      <c r="EP51">
        <v>999.9</v>
      </c>
      <c r="EQ51">
        <v>55.8</v>
      </c>
      <c r="ER51">
        <v>25.1</v>
      </c>
      <c r="ES51">
        <v>17.5911</v>
      </c>
      <c r="ET51">
        <v>61.6773</v>
      </c>
      <c r="EU51">
        <v>25.7612</v>
      </c>
      <c r="EV51">
        <v>2</v>
      </c>
      <c r="EW51">
        <v>-0.485346</v>
      </c>
      <c r="EX51">
        <v>0</v>
      </c>
      <c r="EY51">
        <v>20.2949</v>
      </c>
      <c r="EZ51">
        <v>5.21714</v>
      </c>
      <c r="FA51">
        <v>11.968</v>
      </c>
      <c r="FB51">
        <v>4.9931</v>
      </c>
      <c r="FC51">
        <v>3.27198</v>
      </c>
      <c r="FD51">
        <v>2822.8</v>
      </c>
      <c r="FE51">
        <v>9999</v>
      </c>
      <c r="FF51">
        <v>9999</v>
      </c>
      <c r="FG51">
        <v>999.9</v>
      </c>
      <c r="FH51">
        <v>4.97256</v>
      </c>
      <c r="FI51">
        <v>1.86249</v>
      </c>
      <c r="FJ51">
        <v>1.86428</v>
      </c>
      <c r="FK51">
        <v>1.86264</v>
      </c>
      <c r="FL51">
        <v>1.86271</v>
      </c>
      <c r="FM51">
        <v>1.86325</v>
      </c>
      <c r="FN51">
        <v>1.85978</v>
      </c>
      <c r="FO51">
        <v>1.86263</v>
      </c>
      <c r="FP51">
        <v>0</v>
      </c>
      <c r="FQ51">
        <v>0</v>
      </c>
      <c r="FR51">
        <v>0</v>
      </c>
      <c r="FS51">
        <v>0</v>
      </c>
      <c r="FT51" t="s">
        <v>356</v>
      </c>
      <c r="FU51" t="s">
        <v>357</v>
      </c>
      <c r="FV51" t="s">
        <v>358</v>
      </c>
      <c r="FW51" t="s">
        <v>358</v>
      </c>
      <c r="FX51" t="s">
        <v>358</v>
      </c>
      <c r="FY51" t="s">
        <v>358</v>
      </c>
      <c r="FZ51">
        <v>0</v>
      </c>
      <c r="GA51">
        <v>100</v>
      </c>
      <c r="GB51">
        <v>100</v>
      </c>
      <c r="GC51">
        <v>2.105</v>
      </c>
      <c r="GD51">
        <v>0.11</v>
      </c>
      <c r="GE51">
        <v>2.393064211376961</v>
      </c>
      <c r="GF51">
        <v>-0.001033730503750798</v>
      </c>
      <c r="GG51">
        <v>9.120241388950126E-07</v>
      </c>
      <c r="GH51">
        <v>-2.246115299815222E-10</v>
      </c>
      <c r="GI51">
        <v>-0.02073604101706011</v>
      </c>
      <c r="GJ51">
        <v>-0.01814858093373864</v>
      </c>
      <c r="GK51">
        <v>0.002091959988359369</v>
      </c>
      <c r="GL51">
        <v>-1.90871700788604E-05</v>
      </c>
      <c r="GM51">
        <v>2</v>
      </c>
      <c r="GN51">
        <v>2210</v>
      </c>
      <c r="GO51">
        <v>1</v>
      </c>
      <c r="GP51">
        <v>26</v>
      </c>
      <c r="GQ51">
        <v>1.3</v>
      </c>
      <c r="GR51">
        <v>1.3</v>
      </c>
      <c r="GS51">
        <v>1.26465</v>
      </c>
      <c r="GT51">
        <v>2.37793</v>
      </c>
      <c r="GU51">
        <v>2.34741</v>
      </c>
      <c r="GV51">
        <v>2.75024</v>
      </c>
      <c r="GW51">
        <v>2.39868</v>
      </c>
      <c r="GX51">
        <v>2.29248</v>
      </c>
      <c r="GY51">
        <v>29.3251</v>
      </c>
      <c r="GZ51">
        <v>13.5191</v>
      </c>
      <c r="HA51">
        <v>18</v>
      </c>
      <c r="HB51">
        <v>-2.43058</v>
      </c>
      <c r="HC51">
        <v>662.294</v>
      </c>
      <c r="HD51">
        <v>22.0999</v>
      </c>
      <c r="HE51">
        <v>21.0453</v>
      </c>
      <c r="HF51">
        <v>29.9999</v>
      </c>
      <c r="HG51">
        <v>21.0872</v>
      </c>
      <c r="HH51">
        <v>20.8775</v>
      </c>
      <c r="HI51">
        <v>25.3742</v>
      </c>
      <c r="HJ51">
        <v>19.7838</v>
      </c>
      <c r="HK51">
        <v>14.137</v>
      </c>
      <c r="HL51">
        <v>-999.9</v>
      </c>
      <c r="HM51">
        <v>405</v>
      </c>
      <c r="HN51">
        <v>14.8799</v>
      </c>
      <c r="HO51">
        <v>100.966</v>
      </c>
      <c r="HP51">
        <v>101.292</v>
      </c>
    </row>
    <row r="52" spans="1:224">
      <c r="A52">
        <v>36</v>
      </c>
      <c r="B52">
        <v>1750701366</v>
      </c>
      <c r="C52">
        <v>6502.900000095367</v>
      </c>
      <c r="D52" t="s">
        <v>461</v>
      </c>
      <c r="E52" t="s">
        <v>462</v>
      </c>
      <c r="F52">
        <v>15</v>
      </c>
      <c r="G52">
        <v>1750701358</v>
      </c>
      <c r="H52">
        <f>(I52)/1000</f>
        <v>0</v>
      </c>
      <c r="I52">
        <f>IF(BD52, AL52, AF52)</f>
        <v>0</v>
      </c>
      <c r="J52">
        <f>IF(BD52, AG52, AE52)</f>
        <v>0</v>
      </c>
      <c r="K52">
        <f>BF52 - IF(AS52&gt;1, J52*AZ52*100.0/(AU52), 0)</f>
        <v>0</v>
      </c>
      <c r="L52">
        <f>((R52-H52/2)*K52-J52)/(R52+H52/2)</f>
        <v>0</v>
      </c>
      <c r="M52">
        <f>L52*(BM52+BN52)/1000.0</f>
        <v>0</v>
      </c>
      <c r="N52">
        <f>(BF52 - IF(AS52&gt;1, J52*AZ52*100.0/(AU52), 0))*(BM52+BN52)/1000.0</f>
        <v>0</v>
      </c>
      <c r="O52">
        <f>2.0/((1/Q52-1/P52)+SIGN(Q52)*SQRT((1/Q52-1/P52)*(1/Q52-1/P52) + 4*BA52/((BA52+1)*(BA52+1))*(2*1/Q52*1/P52-1/P52*1/P52)))</f>
        <v>0</v>
      </c>
      <c r="P52">
        <f>IF(LEFT(BB52,1)&lt;&gt;"0",IF(LEFT(BB52,1)="1",3.0,BC52),$D$5+$E$5*(BT52*BM52/($K$5*1000))+$F$5*(BT52*BM52/($K$5*1000))*MAX(MIN(AZ52,$J$5),$I$5)*MAX(MIN(AZ52,$J$5),$I$5)+$G$5*MAX(MIN(AZ52,$J$5),$I$5)*(BT52*BM52/($K$5*1000))+$H$5*(BT52*BM52/($K$5*1000))*(BT52*BM52/($K$5*1000)))</f>
        <v>0</v>
      </c>
      <c r="Q52">
        <f>H52*(1000-(1000*0.61365*exp(17.502*U52/(240.97+U52))/(BM52+BN52)+BH52)/2)/(1000*0.61365*exp(17.502*U52/(240.97+U52))/(BM52+BN52)-BH52)</f>
        <v>0</v>
      </c>
      <c r="R52">
        <f>1/((BA52+1)/(O52/1.6)+1/(P52/1.37)) + BA52/((BA52+1)/(O52/1.6) + BA52/(P52/1.37))</f>
        <v>0</v>
      </c>
      <c r="S52">
        <f>(AV52*AY52)</f>
        <v>0</v>
      </c>
      <c r="T52">
        <f>(BO52+(S52+2*0.95*5.67E-8*(((BO52+$B$7)+273)^4-(BO52+273)^4)-44100*H52)/(1.84*29.3*P52+8*0.95*5.67E-8*(BO52+273)^3))</f>
        <v>0</v>
      </c>
      <c r="U52">
        <f>($C$7*BP52+$D$7*BQ52+$E$7*T52)</f>
        <v>0</v>
      </c>
      <c r="V52">
        <f>0.61365*exp(17.502*U52/(240.97+U52))</f>
        <v>0</v>
      </c>
      <c r="W52">
        <f>(X52/Y52*100)</f>
        <v>0</v>
      </c>
      <c r="X52">
        <f>BH52*(BM52+BN52)/1000</f>
        <v>0</v>
      </c>
      <c r="Y52">
        <f>0.61365*exp(17.502*BO52/(240.97+BO52))</f>
        <v>0</v>
      </c>
      <c r="Z52">
        <f>(V52-BH52*(BM52+BN52)/1000)</f>
        <v>0</v>
      </c>
      <c r="AA52">
        <f>(-H52*44100)</f>
        <v>0</v>
      </c>
      <c r="AB52">
        <f>2*29.3*P52*0.92*(BO52-U52)</f>
        <v>0</v>
      </c>
      <c r="AC52">
        <f>2*0.95*5.67E-8*(((BO52+$B$7)+273)^4-(U52+273)^4)</f>
        <v>0</v>
      </c>
      <c r="AD52">
        <f>S52+AC52+AA52+AB52</f>
        <v>0</v>
      </c>
      <c r="AE52">
        <f>BL52*AS52*(BG52-BF52*(1000-AS52*BI52)/(1000-AS52*BH52))/(100*AZ52)</f>
        <v>0</v>
      </c>
      <c r="AF52">
        <f>1000*BL52*AS52*(BH52-BI52)/(100*AZ52*(1000-AS52*BH52))</f>
        <v>0</v>
      </c>
      <c r="AG52">
        <f>(AH52 - AI52 - BM52*1E3/(8.314*(BO52+273.15)) * AK52/BL52 * AJ52) * BL52/(100*AZ52) * (1000 - BI52)/1000</f>
        <v>0</v>
      </c>
      <c r="AH52">
        <v>410.1757910188359</v>
      </c>
      <c r="AI52">
        <v>400.8614363636362</v>
      </c>
      <c r="AJ52">
        <v>-0.001160605626047933</v>
      </c>
      <c r="AK52">
        <v>66.95833776982498</v>
      </c>
      <c r="AL52">
        <f>(AN52 - AM52 + BM52*1E3/(8.314*(BO52+273.15)) * AP52/BL52 * AO52) * BL52/(100*AZ52) * 1000/(1000 - AN52)</f>
        <v>0</v>
      </c>
      <c r="AM52">
        <v>12.58650671360963</v>
      </c>
      <c r="AN52">
        <v>15.33031696969696</v>
      </c>
      <c r="AO52">
        <v>6.175668792252695E-05</v>
      </c>
      <c r="AP52">
        <v>79.21155935401325</v>
      </c>
      <c r="AQ52">
        <v>369</v>
      </c>
      <c r="AR52">
        <v>46</v>
      </c>
      <c r="AS52">
        <f>IF(AQ52*$H$13&gt;=AU52,1.0,(AU52/(AU52-AQ52*$H$13)))</f>
        <v>0</v>
      </c>
      <c r="AT52">
        <f>(AS52-1)*100</f>
        <v>0</v>
      </c>
      <c r="AU52">
        <f>MAX(0,($B$13+$C$13*BT52)/(1+$D$13*BT52)*BM52/(BO52+273)*$E$13)</f>
        <v>0</v>
      </c>
      <c r="AV52">
        <f>$B$11*BU52+$C$11*BV52+$F$11*CG52*(1-CJ52)</f>
        <v>0</v>
      </c>
      <c r="AW52">
        <f>AV52*AX52</f>
        <v>0</v>
      </c>
      <c r="AX52">
        <f>($B$11*$D$9+$C$11*$D$9+$F$11*((CT52+CL52)/MAX(CT52+CL52+CU52, 0.1)*$I$9+CU52/MAX(CT52+CL52+CU52, 0.1)*$J$9))/($B$11+$C$11+$F$11)</f>
        <v>0</v>
      </c>
      <c r="AY52">
        <f>($B$11*$K$9+$C$11*$K$9+$F$11*((CT52+CL52)/MAX(CT52+CL52+CU52, 0.1)*$P$9+CU52/MAX(CT52+CL52+CU52, 0.1)*$Q$9))/($B$11+$C$11+$F$11)</f>
        <v>0</v>
      </c>
      <c r="AZ52">
        <v>6</v>
      </c>
      <c r="BA52">
        <v>0.5</v>
      </c>
      <c r="BB52" t="s">
        <v>353</v>
      </c>
      <c r="BC52">
        <v>2</v>
      </c>
      <c r="BD52" t="b">
        <v>0</v>
      </c>
      <c r="BE52">
        <v>1750701358</v>
      </c>
      <c r="BF52">
        <v>394.7725806451612</v>
      </c>
      <c r="BG52">
        <v>404.9793870967742</v>
      </c>
      <c r="BH52">
        <v>15.31717096774194</v>
      </c>
      <c r="BI52">
        <v>12.57817741935484</v>
      </c>
      <c r="BJ52">
        <v>392.6584193548387</v>
      </c>
      <c r="BK52">
        <v>15.19562580645161</v>
      </c>
      <c r="BL52">
        <v>799.9973870967742</v>
      </c>
      <c r="BM52">
        <v>101.4678064516129</v>
      </c>
      <c r="BN52">
        <v>0.09988903870967741</v>
      </c>
      <c r="BO52">
        <v>23.13959677419355</v>
      </c>
      <c r="BP52">
        <v>22.17812580645161</v>
      </c>
      <c r="BQ52">
        <v>999.9000000000003</v>
      </c>
      <c r="BR52">
        <v>0</v>
      </c>
      <c r="BS52">
        <v>0</v>
      </c>
      <c r="BT52">
        <v>10012.41903225806</v>
      </c>
      <c r="BU52">
        <v>0</v>
      </c>
      <c r="BV52">
        <v>0.00152894</v>
      </c>
      <c r="BW52">
        <v>-10.20673225806451</v>
      </c>
      <c r="BX52">
        <v>400.9135161290322</v>
      </c>
      <c r="BY52">
        <v>410.138129032258</v>
      </c>
      <c r="BZ52">
        <v>2.73899129032258</v>
      </c>
      <c r="CA52">
        <v>404.9793870967742</v>
      </c>
      <c r="CB52">
        <v>12.57817741935484</v>
      </c>
      <c r="CC52">
        <v>1.55420064516129</v>
      </c>
      <c r="CD52">
        <v>1.276281612903226</v>
      </c>
      <c r="CE52">
        <v>13.51205806451613</v>
      </c>
      <c r="CF52">
        <v>10.52239032258064</v>
      </c>
      <c r="CG52">
        <v>999.9921612903227</v>
      </c>
      <c r="CH52">
        <v>0.9600009677419352</v>
      </c>
      <c r="CI52">
        <v>0.03999943870967743</v>
      </c>
      <c r="CJ52">
        <v>0</v>
      </c>
      <c r="CK52">
        <v>1.644677419354839</v>
      </c>
      <c r="CL52">
        <v>0</v>
      </c>
      <c r="CM52">
        <v>10819.08709677419</v>
      </c>
      <c r="CN52">
        <v>7946.857741935483</v>
      </c>
      <c r="CO52">
        <v>36.08245161290323</v>
      </c>
      <c r="CP52">
        <v>38.19332258064515</v>
      </c>
      <c r="CQ52">
        <v>37.48164516129031</v>
      </c>
      <c r="CR52">
        <v>37.27393548387095</v>
      </c>
      <c r="CS52">
        <v>36.21345161290322</v>
      </c>
      <c r="CT52">
        <v>959.9929032258066</v>
      </c>
      <c r="CU52">
        <v>40</v>
      </c>
      <c r="CV52">
        <v>0</v>
      </c>
      <c r="CW52">
        <v>1750701383</v>
      </c>
      <c r="CX52">
        <v>0</v>
      </c>
      <c r="CY52">
        <v>1750701231</v>
      </c>
      <c r="CZ52" t="s">
        <v>460</v>
      </c>
      <c r="DA52">
        <v>1750701133.5</v>
      </c>
      <c r="DB52">
        <v>1750701231</v>
      </c>
      <c r="DC52">
        <v>33</v>
      </c>
      <c r="DD52">
        <v>0.007</v>
      </c>
      <c r="DE52">
        <v>0.002</v>
      </c>
      <c r="DF52">
        <v>2.11</v>
      </c>
      <c r="DG52">
        <v>0.11</v>
      </c>
      <c r="DH52">
        <v>405</v>
      </c>
      <c r="DI52">
        <v>15</v>
      </c>
      <c r="DJ52">
        <v>0.25</v>
      </c>
      <c r="DK52">
        <v>0.19</v>
      </c>
      <c r="DL52">
        <v>-10.18262195121951</v>
      </c>
      <c r="DM52">
        <v>-0.5208355400696927</v>
      </c>
      <c r="DN52">
        <v>0.06159596721117823</v>
      </c>
      <c r="DO52">
        <v>0</v>
      </c>
      <c r="DP52">
        <v>2.751343902439024</v>
      </c>
      <c r="DQ52">
        <v>-0.1860880139372819</v>
      </c>
      <c r="DR52">
        <v>0.02376991528331243</v>
      </c>
      <c r="DS52">
        <v>0</v>
      </c>
      <c r="DT52">
        <v>0</v>
      </c>
      <c r="DU52">
        <v>2</v>
      </c>
      <c r="DV52" t="s">
        <v>372</v>
      </c>
      <c r="DW52">
        <v>3.44695</v>
      </c>
      <c r="DX52">
        <v>2.78046</v>
      </c>
      <c r="DY52">
        <v>0.0963107</v>
      </c>
      <c r="DZ52">
        <v>0.0985478</v>
      </c>
      <c r="EA52">
        <v>0.08722149999999999</v>
      </c>
      <c r="EB52">
        <v>0.0753528</v>
      </c>
      <c r="EC52">
        <v>27365.8</v>
      </c>
      <c r="ED52">
        <v>31062.2</v>
      </c>
      <c r="EE52">
        <v>29404.1</v>
      </c>
      <c r="EF52">
        <v>35034.8</v>
      </c>
      <c r="EG52">
        <v>31040.5</v>
      </c>
      <c r="EH52">
        <v>40238.6</v>
      </c>
      <c r="EI52">
        <v>36201.4</v>
      </c>
      <c r="EJ52">
        <v>46405</v>
      </c>
      <c r="EK52">
        <v>1.90115</v>
      </c>
      <c r="EL52">
        <v>2.2953</v>
      </c>
      <c r="EM52">
        <v>0.0837594</v>
      </c>
      <c r="EN52">
        <v>0</v>
      </c>
      <c r="EO52">
        <v>20.8073</v>
      </c>
      <c r="EP52">
        <v>999.9</v>
      </c>
      <c r="EQ52">
        <v>55.9</v>
      </c>
      <c r="ER52">
        <v>25.1</v>
      </c>
      <c r="ES52">
        <v>17.6224</v>
      </c>
      <c r="ET52">
        <v>61.5073</v>
      </c>
      <c r="EU52">
        <v>26.6026</v>
      </c>
      <c r="EV52">
        <v>2</v>
      </c>
      <c r="EW52">
        <v>-0.485803</v>
      </c>
      <c r="EX52">
        <v>0</v>
      </c>
      <c r="EY52">
        <v>20.2924</v>
      </c>
      <c r="EZ52">
        <v>5.2092</v>
      </c>
      <c r="FA52">
        <v>11.968</v>
      </c>
      <c r="FB52">
        <v>4.99075</v>
      </c>
      <c r="FC52">
        <v>3.27125</v>
      </c>
      <c r="FD52">
        <v>2827.8</v>
      </c>
      <c r="FE52">
        <v>9999</v>
      </c>
      <c r="FF52">
        <v>9999</v>
      </c>
      <c r="FG52">
        <v>999.9</v>
      </c>
      <c r="FH52">
        <v>4.9726</v>
      </c>
      <c r="FI52">
        <v>1.86249</v>
      </c>
      <c r="FJ52">
        <v>1.86425</v>
      </c>
      <c r="FK52">
        <v>1.86264</v>
      </c>
      <c r="FL52">
        <v>1.86275</v>
      </c>
      <c r="FM52">
        <v>1.86327</v>
      </c>
      <c r="FN52">
        <v>1.85979</v>
      </c>
      <c r="FO52">
        <v>1.86264</v>
      </c>
      <c r="FP52">
        <v>0</v>
      </c>
      <c r="FQ52">
        <v>0</v>
      </c>
      <c r="FR52">
        <v>0</v>
      </c>
      <c r="FS52">
        <v>0</v>
      </c>
      <c r="FT52" t="s">
        <v>356</v>
      </c>
      <c r="FU52" t="s">
        <v>357</v>
      </c>
      <c r="FV52" t="s">
        <v>358</v>
      </c>
      <c r="FW52" t="s">
        <v>358</v>
      </c>
      <c r="FX52" t="s">
        <v>358</v>
      </c>
      <c r="FY52" t="s">
        <v>358</v>
      </c>
      <c r="FZ52">
        <v>0</v>
      </c>
      <c r="GA52">
        <v>100</v>
      </c>
      <c r="GB52">
        <v>100</v>
      </c>
      <c r="GC52">
        <v>2.114</v>
      </c>
      <c r="GD52">
        <v>0.122</v>
      </c>
      <c r="GE52">
        <v>2.393064211376961</v>
      </c>
      <c r="GF52">
        <v>-0.001033730503750798</v>
      </c>
      <c r="GG52">
        <v>9.120241388950126E-07</v>
      </c>
      <c r="GH52">
        <v>-2.246115299815222E-10</v>
      </c>
      <c r="GI52">
        <v>-0.01874303268261723</v>
      </c>
      <c r="GJ52">
        <v>-0.01814858093373864</v>
      </c>
      <c r="GK52">
        <v>0.002091959988359369</v>
      </c>
      <c r="GL52">
        <v>-1.90871700788604E-05</v>
      </c>
      <c r="GM52">
        <v>2</v>
      </c>
      <c r="GN52">
        <v>2210</v>
      </c>
      <c r="GO52">
        <v>1</v>
      </c>
      <c r="GP52">
        <v>26</v>
      </c>
      <c r="GQ52">
        <v>3.9</v>
      </c>
      <c r="GR52">
        <v>2.2</v>
      </c>
      <c r="GS52">
        <v>1.26343</v>
      </c>
      <c r="GT52">
        <v>2.38525</v>
      </c>
      <c r="GU52">
        <v>2.34863</v>
      </c>
      <c r="GV52">
        <v>2.75269</v>
      </c>
      <c r="GW52">
        <v>2.39868</v>
      </c>
      <c r="GX52">
        <v>2.28394</v>
      </c>
      <c r="GY52">
        <v>29.3251</v>
      </c>
      <c r="GZ52">
        <v>13.4929</v>
      </c>
      <c r="HA52">
        <v>18</v>
      </c>
      <c r="HB52">
        <v>384.621</v>
      </c>
      <c r="HC52">
        <v>657.206</v>
      </c>
      <c r="HD52">
        <v>22.1433</v>
      </c>
      <c r="HE52">
        <v>21.04</v>
      </c>
      <c r="HF52">
        <v>30.0001</v>
      </c>
      <c r="HG52">
        <v>20.929</v>
      </c>
      <c r="HH52">
        <v>20.8705</v>
      </c>
      <c r="HI52">
        <v>25.3288</v>
      </c>
      <c r="HJ52">
        <v>31.7047</v>
      </c>
      <c r="HK52">
        <v>14.497</v>
      </c>
      <c r="HL52">
        <v>-999.9</v>
      </c>
      <c r="HM52">
        <v>405</v>
      </c>
      <c r="HN52">
        <v>12.668</v>
      </c>
      <c r="HO52">
        <v>100.965</v>
      </c>
      <c r="HP52">
        <v>101.298</v>
      </c>
    </row>
    <row r="53" spans="1:224">
      <c r="A53">
        <v>37</v>
      </c>
      <c r="B53">
        <v>1750701494.6</v>
      </c>
      <c r="C53">
        <v>6631.5</v>
      </c>
      <c r="D53" t="s">
        <v>463</v>
      </c>
      <c r="E53" t="s">
        <v>464</v>
      </c>
      <c r="F53">
        <v>15</v>
      </c>
      <c r="G53">
        <v>1750701486.849999</v>
      </c>
      <c r="H53">
        <f>(I53)/1000</f>
        <v>0</v>
      </c>
      <c r="I53">
        <f>IF(BD53, AL53, AF53)</f>
        <v>0</v>
      </c>
      <c r="J53">
        <f>IF(BD53, AG53, AE53)</f>
        <v>0</v>
      </c>
      <c r="K53">
        <f>BF53 - IF(AS53&gt;1, J53*AZ53*100.0/(AU53), 0)</f>
        <v>0</v>
      </c>
      <c r="L53">
        <f>((R53-H53/2)*K53-J53)/(R53+H53/2)</f>
        <v>0</v>
      </c>
      <c r="M53">
        <f>L53*(BM53+BN53)/1000.0</f>
        <v>0</v>
      </c>
      <c r="N53">
        <f>(BF53 - IF(AS53&gt;1, J53*AZ53*100.0/(AU53), 0))*(BM53+BN53)/1000.0</f>
        <v>0</v>
      </c>
      <c r="O53">
        <f>2.0/((1/Q53-1/P53)+SIGN(Q53)*SQRT((1/Q53-1/P53)*(1/Q53-1/P53) + 4*BA53/((BA53+1)*(BA53+1))*(2*1/Q53*1/P53-1/P53*1/P53)))</f>
        <v>0</v>
      </c>
      <c r="P53">
        <f>IF(LEFT(BB53,1)&lt;&gt;"0",IF(LEFT(BB53,1)="1",3.0,BC53),$D$5+$E$5*(BT53*BM53/($K$5*1000))+$F$5*(BT53*BM53/($K$5*1000))*MAX(MIN(AZ53,$J$5),$I$5)*MAX(MIN(AZ53,$J$5),$I$5)+$G$5*MAX(MIN(AZ53,$J$5),$I$5)*(BT53*BM53/($K$5*1000))+$H$5*(BT53*BM53/($K$5*1000))*(BT53*BM53/($K$5*1000)))</f>
        <v>0</v>
      </c>
      <c r="Q53">
        <f>H53*(1000-(1000*0.61365*exp(17.502*U53/(240.97+U53))/(BM53+BN53)+BH53)/2)/(1000*0.61365*exp(17.502*U53/(240.97+U53))/(BM53+BN53)-BH53)</f>
        <v>0</v>
      </c>
      <c r="R53">
        <f>1/((BA53+1)/(O53/1.6)+1/(P53/1.37)) + BA53/((BA53+1)/(O53/1.6) + BA53/(P53/1.37))</f>
        <v>0</v>
      </c>
      <c r="S53">
        <f>(AV53*AY53)</f>
        <v>0</v>
      </c>
      <c r="T53">
        <f>(BO53+(S53+2*0.95*5.67E-8*(((BO53+$B$7)+273)^4-(BO53+273)^4)-44100*H53)/(1.84*29.3*P53+8*0.95*5.67E-8*(BO53+273)^3))</f>
        <v>0</v>
      </c>
      <c r="U53">
        <f>($C$7*BP53+$D$7*BQ53+$E$7*T53)</f>
        <v>0</v>
      </c>
      <c r="V53">
        <f>0.61365*exp(17.502*U53/(240.97+U53))</f>
        <v>0</v>
      </c>
      <c r="W53">
        <f>(X53/Y53*100)</f>
        <v>0</v>
      </c>
      <c r="X53">
        <f>BH53*(BM53+BN53)/1000</f>
        <v>0</v>
      </c>
      <c r="Y53">
        <f>0.61365*exp(17.502*BO53/(240.97+BO53))</f>
        <v>0</v>
      </c>
      <c r="Z53">
        <f>(V53-BH53*(BM53+BN53)/1000)</f>
        <v>0</v>
      </c>
      <c r="AA53">
        <f>(-H53*44100)</f>
        <v>0</v>
      </c>
      <c r="AB53">
        <f>2*29.3*P53*0.92*(BO53-U53)</f>
        <v>0</v>
      </c>
      <c r="AC53">
        <f>2*0.95*5.67E-8*(((BO53+$B$7)+273)^4-(U53+273)^4)</f>
        <v>0</v>
      </c>
      <c r="AD53">
        <f>S53+AC53+AA53+AB53</f>
        <v>0</v>
      </c>
      <c r="AE53">
        <f>BL53*AS53*(BG53-BF53*(1000-AS53*BI53)/(1000-AS53*BH53))/(100*AZ53)</f>
        <v>0</v>
      </c>
      <c r="AF53">
        <f>1000*BL53*AS53*(BH53-BI53)/(100*AZ53*(1000-AS53*BH53))</f>
        <v>0</v>
      </c>
      <c r="AG53">
        <f>(AH53 - AI53 - BM53*1E3/(8.314*(BO53+273.15)) * AK53/BL53 * AJ53) * BL53/(100*AZ53) * (1000 - BI53)/1000</f>
        <v>0</v>
      </c>
      <c r="AH53">
        <v>410.9948849553082</v>
      </c>
      <c r="AI53">
        <v>407.2114000000001</v>
      </c>
      <c r="AJ53">
        <v>-0.0003292751544137823</v>
      </c>
      <c r="AK53">
        <v>66.95371905221367</v>
      </c>
      <c r="AL53">
        <f>(AN53 - AM53 + BM53*1E3/(8.314*(BO53+273.15)) * AP53/BL53 * AO53) * BL53/(100*AZ53) * 1000/(1000 - AN53)</f>
        <v>0</v>
      </c>
      <c r="AM53">
        <v>14.58231180295077</v>
      </c>
      <c r="AN53">
        <v>15.28612727272727</v>
      </c>
      <c r="AO53">
        <v>0.001472726974325406</v>
      </c>
      <c r="AP53">
        <v>79.2838872280487</v>
      </c>
      <c r="AQ53">
        <v>50</v>
      </c>
      <c r="AR53">
        <v>6</v>
      </c>
      <c r="AS53">
        <f>IF(AQ53*$H$13&gt;=AU53,1.0,(AU53/(AU53-AQ53*$H$13)))</f>
        <v>0</v>
      </c>
      <c r="AT53">
        <f>(AS53-1)*100</f>
        <v>0</v>
      </c>
      <c r="AU53">
        <f>MAX(0,($B$13+$C$13*BT53)/(1+$D$13*BT53)*BM53/(BO53+273)*$E$13)</f>
        <v>0</v>
      </c>
      <c r="AV53">
        <f>$B$11*BU53+$C$11*BV53+$F$11*CG53*(1-CJ53)</f>
        <v>0</v>
      </c>
      <c r="AW53">
        <f>AV53*AX53</f>
        <v>0</v>
      </c>
      <c r="AX53">
        <f>($B$11*$D$9+$C$11*$D$9+$F$11*((CT53+CL53)/MAX(CT53+CL53+CU53, 0.1)*$I$9+CU53/MAX(CT53+CL53+CU53, 0.1)*$J$9))/($B$11+$C$11+$F$11)</f>
        <v>0</v>
      </c>
      <c r="AY53">
        <f>($B$11*$K$9+$C$11*$K$9+$F$11*((CT53+CL53)/MAX(CT53+CL53+CU53, 0.1)*$P$9+CU53/MAX(CT53+CL53+CU53, 0.1)*$Q$9))/($B$11+$C$11+$F$11)</f>
        <v>0</v>
      </c>
      <c r="AZ53">
        <v>6</v>
      </c>
      <c r="BA53">
        <v>0.5</v>
      </c>
      <c r="BB53" t="s">
        <v>353</v>
      </c>
      <c r="BC53">
        <v>2</v>
      </c>
      <c r="BD53" t="b">
        <v>0</v>
      </c>
      <c r="BE53">
        <v>1750701486.849999</v>
      </c>
      <c r="BF53">
        <v>400.9818</v>
      </c>
      <c r="BG53">
        <v>404.9844000000001</v>
      </c>
      <c r="BH53">
        <v>15.22734333333333</v>
      </c>
      <c r="BI53">
        <v>14.57571333333333</v>
      </c>
      <c r="BJ53">
        <v>398.8767999999999</v>
      </c>
      <c r="BK53">
        <v>15.12834333333333</v>
      </c>
      <c r="BL53">
        <v>799.9888666666667</v>
      </c>
      <c r="BM53">
        <v>101.4689</v>
      </c>
      <c r="BN53">
        <v>0.1002273666666667</v>
      </c>
      <c r="BO53">
        <v>23.06495</v>
      </c>
      <c r="BP53">
        <v>22.92076333333334</v>
      </c>
      <c r="BQ53">
        <v>999.9000000000002</v>
      </c>
      <c r="BR53">
        <v>0</v>
      </c>
      <c r="BS53">
        <v>0</v>
      </c>
      <c r="BT53">
        <v>9994.413</v>
      </c>
      <c r="BU53">
        <v>0</v>
      </c>
      <c r="BV53">
        <v>0.00152894</v>
      </c>
      <c r="BW53">
        <v>-3.996123</v>
      </c>
      <c r="BX53">
        <v>407.1971666666666</v>
      </c>
      <c r="BY53">
        <v>410.9747666666666</v>
      </c>
      <c r="BZ53">
        <v>0.6720231333333332</v>
      </c>
      <c r="CA53">
        <v>404.9844000000001</v>
      </c>
      <c r="CB53">
        <v>14.57571333333333</v>
      </c>
      <c r="CC53">
        <v>1.547171</v>
      </c>
      <c r="CD53">
        <v>1.478980666666666</v>
      </c>
      <c r="CE53">
        <v>13.44243</v>
      </c>
      <c r="CF53">
        <v>12.75257</v>
      </c>
      <c r="CG53">
        <v>999.9984666666666</v>
      </c>
      <c r="CH53">
        <v>0.9599970333333332</v>
      </c>
      <c r="CI53">
        <v>0.04000304666666667</v>
      </c>
      <c r="CJ53">
        <v>0</v>
      </c>
      <c r="CK53">
        <v>0.8154999999999999</v>
      </c>
      <c r="CL53">
        <v>0</v>
      </c>
      <c r="CM53">
        <v>4402.778999999999</v>
      </c>
      <c r="CN53">
        <v>7946.890333333334</v>
      </c>
      <c r="CO53">
        <v>36.94976666666666</v>
      </c>
      <c r="CP53">
        <v>40.12263333333331</v>
      </c>
      <c r="CQ53">
        <v>38.39976666666666</v>
      </c>
      <c r="CR53">
        <v>39.23719999999999</v>
      </c>
      <c r="CS53">
        <v>36.97889999999999</v>
      </c>
      <c r="CT53">
        <v>959.9966666666668</v>
      </c>
      <c r="CU53">
        <v>40.001</v>
      </c>
      <c r="CV53">
        <v>0</v>
      </c>
      <c r="CW53">
        <v>1750701511.4</v>
      </c>
      <c r="CX53">
        <v>0</v>
      </c>
      <c r="CY53">
        <v>1750701514.6</v>
      </c>
      <c r="CZ53" t="s">
        <v>465</v>
      </c>
      <c r="DA53">
        <v>1750701511.6</v>
      </c>
      <c r="DB53">
        <v>1750701514.6</v>
      </c>
      <c r="DC53">
        <v>34</v>
      </c>
      <c r="DD53">
        <v>-0.005</v>
      </c>
      <c r="DE53">
        <v>-0</v>
      </c>
      <c r="DF53">
        <v>2.105</v>
      </c>
      <c r="DG53">
        <v>0.099</v>
      </c>
      <c r="DH53">
        <v>405</v>
      </c>
      <c r="DI53">
        <v>15</v>
      </c>
      <c r="DJ53">
        <v>0.31</v>
      </c>
      <c r="DK53">
        <v>0.12</v>
      </c>
      <c r="DL53">
        <v>-3.974876500000001</v>
      </c>
      <c r="DM53">
        <v>-0.257142439024386</v>
      </c>
      <c r="DN53">
        <v>0.03094048040593423</v>
      </c>
      <c r="DO53">
        <v>0</v>
      </c>
      <c r="DP53">
        <v>0.6503243</v>
      </c>
      <c r="DQ53">
        <v>0.3832939812382739</v>
      </c>
      <c r="DR53">
        <v>0.03754369046804003</v>
      </c>
      <c r="DS53">
        <v>0</v>
      </c>
      <c r="DT53">
        <v>0</v>
      </c>
      <c r="DU53">
        <v>2</v>
      </c>
      <c r="DV53" t="s">
        <v>372</v>
      </c>
      <c r="DW53">
        <v>3.44809</v>
      </c>
      <c r="DX53">
        <v>2.78103</v>
      </c>
      <c r="DY53">
        <v>0.0974899</v>
      </c>
      <c r="DZ53">
        <v>0.0985729</v>
      </c>
      <c r="EA53">
        <v>0.0870493</v>
      </c>
      <c r="EB53">
        <v>0.08388429999999999</v>
      </c>
      <c r="EC53">
        <v>27331</v>
      </c>
      <c r="ED53">
        <v>31062.2</v>
      </c>
      <c r="EE53">
        <v>29405.1</v>
      </c>
      <c r="EF53">
        <v>35035.5</v>
      </c>
      <c r="EG53">
        <v>31048</v>
      </c>
      <c r="EH53">
        <v>39866.8</v>
      </c>
      <c r="EI53">
        <v>36203.2</v>
      </c>
      <c r="EJ53">
        <v>46405.9</v>
      </c>
      <c r="EK53">
        <v>2.4828</v>
      </c>
      <c r="EL53">
        <v>2.29955</v>
      </c>
      <c r="EM53">
        <v>0.124373</v>
      </c>
      <c r="EN53">
        <v>0</v>
      </c>
      <c r="EO53">
        <v>20.8993</v>
      </c>
      <c r="EP53">
        <v>999.9</v>
      </c>
      <c r="EQ53">
        <v>55.5</v>
      </c>
      <c r="ER53">
        <v>25.2</v>
      </c>
      <c r="ES53">
        <v>17.6018</v>
      </c>
      <c r="ET53">
        <v>61.7164</v>
      </c>
      <c r="EU53">
        <v>26.2981</v>
      </c>
      <c r="EV53">
        <v>2</v>
      </c>
      <c r="EW53">
        <v>-0.486481</v>
      </c>
      <c r="EX53">
        <v>0</v>
      </c>
      <c r="EY53">
        <v>20.2944</v>
      </c>
      <c r="EZ53">
        <v>5.21415</v>
      </c>
      <c r="FA53">
        <v>11.968</v>
      </c>
      <c r="FB53">
        <v>4.9911</v>
      </c>
      <c r="FC53">
        <v>3.27195</v>
      </c>
      <c r="FD53">
        <v>2831.8</v>
      </c>
      <c r="FE53">
        <v>9999</v>
      </c>
      <c r="FF53">
        <v>9999</v>
      </c>
      <c r="FG53">
        <v>999.9</v>
      </c>
      <c r="FH53">
        <v>4.97256</v>
      </c>
      <c r="FI53">
        <v>1.86249</v>
      </c>
      <c r="FJ53">
        <v>1.86428</v>
      </c>
      <c r="FK53">
        <v>1.86266</v>
      </c>
      <c r="FL53">
        <v>1.86274</v>
      </c>
      <c r="FM53">
        <v>1.86327</v>
      </c>
      <c r="FN53">
        <v>1.85976</v>
      </c>
      <c r="FO53">
        <v>1.86264</v>
      </c>
      <c r="FP53">
        <v>0</v>
      </c>
      <c r="FQ53">
        <v>0</v>
      </c>
      <c r="FR53">
        <v>0</v>
      </c>
      <c r="FS53">
        <v>0</v>
      </c>
      <c r="FT53" t="s">
        <v>356</v>
      </c>
      <c r="FU53" t="s">
        <v>357</v>
      </c>
      <c r="FV53" t="s">
        <v>358</v>
      </c>
      <c r="FW53" t="s">
        <v>358</v>
      </c>
      <c r="FX53" t="s">
        <v>358</v>
      </c>
      <c r="FY53" t="s">
        <v>358</v>
      </c>
      <c r="FZ53">
        <v>0</v>
      </c>
      <c r="GA53">
        <v>100</v>
      </c>
      <c r="GB53">
        <v>100</v>
      </c>
      <c r="GC53">
        <v>2.105</v>
      </c>
      <c r="GD53">
        <v>0.099</v>
      </c>
      <c r="GE53">
        <v>2.393064211376961</v>
      </c>
      <c r="GF53">
        <v>-0.001033730503750798</v>
      </c>
      <c r="GG53">
        <v>9.120241388950126E-07</v>
      </c>
      <c r="GH53">
        <v>-2.246115299815222E-10</v>
      </c>
      <c r="GI53">
        <v>-0.01874303268261723</v>
      </c>
      <c r="GJ53">
        <v>-0.01814858093373864</v>
      </c>
      <c r="GK53">
        <v>0.002091959988359369</v>
      </c>
      <c r="GL53">
        <v>-1.90871700788604E-05</v>
      </c>
      <c r="GM53">
        <v>2</v>
      </c>
      <c r="GN53">
        <v>2210</v>
      </c>
      <c r="GO53">
        <v>1</v>
      </c>
      <c r="GP53">
        <v>26</v>
      </c>
      <c r="GQ53">
        <v>6</v>
      </c>
      <c r="GR53">
        <v>4.4</v>
      </c>
      <c r="GS53">
        <v>1.26465</v>
      </c>
      <c r="GT53">
        <v>2.39258</v>
      </c>
      <c r="GU53">
        <v>2.34863</v>
      </c>
      <c r="GV53">
        <v>2.75146</v>
      </c>
      <c r="GW53">
        <v>2.39868</v>
      </c>
      <c r="GX53">
        <v>2.25342</v>
      </c>
      <c r="GY53">
        <v>29.3251</v>
      </c>
      <c r="GZ53">
        <v>13.4666</v>
      </c>
      <c r="HA53">
        <v>18</v>
      </c>
      <c r="HB53">
        <v>742.8</v>
      </c>
      <c r="HC53">
        <v>660.631</v>
      </c>
      <c r="HD53">
        <v>22.1492</v>
      </c>
      <c r="HE53">
        <v>21.0365</v>
      </c>
      <c r="HF53">
        <v>30.0001</v>
      </c>
      <c r="HG53">
        <v>20.9138</v>
      </c>
      <c r="HH53">
        <v>20.8709</v>
      </c>
      <c r="HI53">
        <v>25.366</v>
      </c>
      <c r="HJ53">
        <v>21.4091</v>
      </c>
      <c r="HK53">
        <v>13.3764</v>
      </c>
      <c r="HL53">
        <v>-999.9</v>
      </c>
      <c r="HM53">
        <v>405</v>
      </c>
      <c r="HN53">
        <v>14.5582</v>
      </c>
      <c r="HO53">
        <v>100.969</v>
      </c>
      <c r="HP53">
        <v>101.3</v>
      </c>
    </row>
    <row r="54" spans="1:224">
      <c r="A54">
        <v>38</v>
      </c>
      <c r="B54">
        <v>1750701620.1</v>
      </c>
      <c r="C54">
        <v>6757</v>
      </c>
      <c r="D54" t="s">
        <v>466</v>
      </c>
      <c r="E54" t="s">
        <v>467</v>
      </c>
      <c r="F54">
        <v>15</v>
      </c>
      <c r="G54">
        <v>1750701612.349999</v>
      </c>
      <c r="H54">
        <f>(I54)/1000</f>
        <v>0</v>
      </c>
      <c r="I54">
        <f>IF(BD54, AL54, AF54)</f>
        <v>0</v>
      </c>
      <c r="J54">
        <f>IF(BD54, AG54, AE54)</f>
        <v>0</v>
      </c>
      <c r="K54">
        <f>BF54 - IF(AS54&gt;1, J54*AZ54*100.0/(AU54), 0)</f>
        <v>0</v>
      </c>
      <c r="L54">
        <f>((R54-H54/2)*K54-J54)/(R54+H54/2)</f>
        <v>0</v>
      </c>
      <c r="M54">
        <f>L54*(BM54+BN54)/1000.0</f>
        <v>0</v>
      </c>
      <c r="N54">
        <f>(BF54 - IF(AS54&gt;1, J54*AZ54*100.0/(AU54), 0))*(BM54+BN54)/1000.0</f>
        <v>0</v>
      </c>
      <c r="O54">
        <f>2.0/((1/Q54-1/P54)+SIGN(Q54)*SQRT((1/Q54-1/P54)*(1/Q54-1/P54) + 4*BA54/((BA54+1)*(BA54+1))*(2*1/Q54*1/P54-1/P54*1/P54)))</f>
        <v>0</v>
      </c>
      <c r="P54">
        <f>IF(LEFT(BB54,1)&lt;&gt;"0",IF(LEFT(BB54,1)="1",3.0,BC54),$D$5+$E$5*(BT54*BM54/($K$5*1000))+$F$5*(BT54*BM54/($K$5*1000))*MAX(MIN(AZ54,$J$5),$I$5)*MAX(MIN(AZ54,$J$5),$I$5)+$G$5*MAX(MIN(AZ54,$J$5),$I$5)*(BT54*BM54/($K$5*1000))+$H$5*(BT54*BM54/($K$5*1000))*(BT54*BM54/($K$5*1000)))</f>
        <v>0</v>
      </c>
      <c r="Q54">
        <f>H54*(1000-(1000*0.61365*exp(17.502*U54/(240.97+U54))/(BM54+BN54)+BH54)/2)/(1000*0.61365*exp(17.502*U54/(240.97+U54))/(BM54+BN54)-BH54)</f>
        <v>0</v>
      </c>
      <c r="R54">
        <f>1/((BA54+1)/(O54/1.6)+1/(P54/1.37)) + BA54/((BA54+1)/(O54/1.6) + BA54/(P54/1.37))</f>
        <v>0</v>
      </c>
      <c r="S54">
        <f>(AV54*AY54)</f>
        <v>0</v>
      </c>
      <c r="T54">
        <f>(BO54+(S54+2*0.95*5.67E-8*(((BO54+$B$7)+273)^4-(BO54+273)^4)-44100*H54)/(1.84*29.3*P54+8*0.95*5.67E-8*(BO54+273)^3))</f>
        <v>0</v>
      </c>
      <c r="U54">
        <f>($C$7*BP54+$D$7*BQ54+$E$7*T54)</f>
        <v>0</v>
      </c>
      <c r="V54">
        <f>0.61365*exp(17.502*U54/(240.97+U54))</f>
        <v>0</v>
      </c>
      <c r="W54">
        <f>(X54/Y54*100)</f>
        <v>0</v>
      </c>
      <c r="X54">
        <f>BH54*(BM54+BN54)/1000</f>
        <v>0</v>
      </c>
      <c r="Y54">
        <f>0.61365*exp(17.502*BO54/(240.97+BO54))</f>
        <v>0</v>
      </c>
      <c r="Z54">
        <f>(V54-BH54*(BM54+BN54)/1000)</f>
        <v>0</v>
      </c>
      <c r="AA54">
        <f>(-H54*44100)</f>
        <v>0</v>
      </c>
      <c r="AB54">
        <f>2*29.3*P54*0.92*(BO54-U54)</f>
        <v>0</v>
      </c>
      <c r="AC54">
        <f>2*0.95*5.67E-8*(((BO54+$B$7)+273)^4-(U54+273)^4)</f>
        <v>0</v>
      </c>
      <c r="AD54">
        <f>S54+AC54+AA54+AB54</f>
        <v>0</v>
      </c>
      <c r="AE54">
        <f>BL54*AS54*(BG54-BF54*(1000-AS54*BI54)/(1000-AS54*BH54))/(100*AZ54)</f>
        <v>0</v>
      </c>
      <c r="AF54">
        <f>1000*BL54*AS54*(BH54-BI54)/(100*AZ54*(1000-AS54*BH54))</f>
        <v>0</v>
      </c>
      <c r="AG54">
        <f>(AH54 - AI54 - BM54*1E3/(8.314*(BO54+273.15)) * AK54/BL54 * AJ54) * BL54/(100*AZ54) * (1000 - BI54)/1000</f>
        <v>0</v>
      </c>
      <c r="AH54">
        <v>410.7963927229557</v>
      </c>
      <c r="AI54">
        <v>407.416915151515</v>
      </c>
      <c r="AJ54">
        <v>0.002704070623181542</v>
      </c>
      <c r="AK54">
        <v>66.95699696313645</v>
      </c>
      <c r="AL54">
        <f>(AN54 - AM54 + BM54*1E3/(8.314*(BO54+273.15)) * AP54/BL54 * AO54) * BL54/(100*AZ54) * 1000/(1000 - AN54)</f>
        <v>0</v>
      </c>
      <c r="AM54">
        <v>14.21056825664031</v>
      </c>
      <c r="AN54">
        <v>15.27330666666666</v>
      </c>
      <c r="AO54">
        <v>0.002695000823583588</v>
      </c>
      <c r="AP54">
        <v>79.23023352467345</v>
      </c>
      <c r="AQ54">
        <v>315</v>
      </c>
      <c r="AR54">
        <v>39</v>
      </c>
      <c r="AS54">
        <f>IF(AQ54*$H$13&gt;=AU54,1.0,(AU54/(AU54-AQ54*$H$13)))</f>
        <v>0</v>
      </c>
      <c r="AT54">
        <f>(AS54-1)*100</f>
        <v>0</v>
      </c>
      <c r="AU54">
        <f>MAX(0,($B$13+$C$13*BT54)/(1+$D$13*BT54)*BM54/(BO54+273)*$E$13)</f>
        <v>0</v>
      </c>
      <c r="AV54">
        <f>$B$11*BU54+$C$11*BV54+$F$11*CG54*(1-CJ54)</f>
        <v>0</v>
      </c>
      <c r="AW54">
        <f>AV54*AX54</f>
        <v>0</v>
      </c>
      <c r="AX54">
        <f>($B$11*$D$9+$C$11*$D$9+$F$11*((CT54+CL54)/MAX(CT54+CL54+CU54, 0.1)*$I$9+CU54/MAX(CT54+CL54+CU54, 0.1)*$J$9))/($B$11+$C$11+$F$11)</f>
        <v>0</v>
      </c>
      <c r="AY54">
        <f>($B$11*$K$9+$C$11*$K$9+$F$11*((CT54+CL54)/MAX(CT54+CL54+CU54, 0.1)*$P$9+CU54/MAX(CT54+CL54+CU54, 0.1)*$Q$9))/($B$11+$C$11+$F$11)</f>
        <v>0</v>
      </c>
      <c r="AZ54">
        <v>6</v>
      </c>
      <c r="BA54">
        <v>0.5</v>
      </c>
      <c r="BB54" t="s">
        <v>353</v>
      </c>
      <c r="BC54">
        <v>2</v>
      </c>
      <c r="BD54" t="b">
        <v>0</v>
      </c>
      <c r="BE54">
        <v>1750701612.349999</v>
      </c>
      <c r="BF54">
        <v>401.1101666666666</v>
      </c>
      <c r="BG54">
        <v>404.9633333333333</v>
      </c>
      <c r="BH54">
        <v>15.23359666666667</v>
      </c>
      <c r="BI54">
        <v>14.15436333333333</v>
      </c>
      <c r="BJ54">
        <v>399.0491666666666</v>
      </c>
      <c r="BK54">
        <v>15.11503</v>
      </c>
      <c r="BL54">
        <v>800.0147333333333</v>
      </c>
      <c r="BM54">
        <v>101.4718333333333</v>
      </c>
      <c r="BN54">
        <v>0.09994689333333334</v>
      </c>
      <c r="BO54">
        <v>23.13835666666666</v>
      </c>
      <c r="BP54">
        <v>22.39086</v>
      </c>
      <c r="BQ54">
        <v>999.9000000000002</v>
      </c>
      <c r="BR54">
        <v>0</v>
      </c>
      <c r="BS54">
        <v>0</v>
      </c>
      <c r="BT54">
        <v>10015.13133333333</v>
      </c>
      <c r="BU54">
        <v>0</v>
      </c>
      <c r="BV54">
        <v>0.00152894</v>
      </c>
      <c r="BW54">
        <v>-3.807441333333334</v>
      </c>
      <c r="BX54">
        <v>407.3616</v>
      </c>
      <c r="BY54">
        <v>410.7777666666667</v>
      </c>
      <c r="BZ54">
        <v>1.079224</v>
      </c>
      <c r="CA54">
        <v>404.9633333333333</v>
      </c>
      <c r="CB54">
        <v>14.15436333333333</v>
      </c>
      <c r="CC54">
        <v>1.545779666666667</v>
      </c>
      <c r="CD54">
        <v>1.436268666666667</v>
      </c>
      <c r="CE54">
        <v>13.42864</v>
      </c>
      <c r="CF54">
        <v>12.30594</v>
      </c>
      <c r="CG54">
        <v>1000.001866666667</v>
      </c>
      <c r="CH54">
        <v>0.9599915333333335</v>
      </c>
      <c r="CI54">
        <v>0.04000879999999999</v>
      </c>
      <c r="CJ54">
        <v>0</v>
      </c>
      <c r="CK54">
        <v>1.261833333333333</v>
      </c>
      <c r="CL54">
        <v>0</v>
      </c>
      <c r="CM54">
        <v>5450.427666666666</v>
      </c>
      <c r="CN54">
        <v>7946.903666666665</v>
      </c>
      <c r="CO54">
        <v>37.96226666666666</v>
      </c>
      <c r="CP54">
        <v>41.15806666666664</v>
      </c>
      <c r="CQ54">
        <v>39.34979999999999</v>
      </c>
      <c r="CR54">
        <v>40.94566666666666</v>
      </c>
      <c r="CS54">
        <v>37.9706</v>
      </c>
      <c r="CT54">
        <v>959.9926666666668</v>
      </c>
      <c r="CU54">
        <v>40.01</v>
      </c>
      <c r="CV54">
        <v>0</v>
      </c>
      <c r="CW54">
        <v>1750701636.8</v>
      </c>
      <c r="CX54">
        <v>0</v>
      </c>
      <c r="CY54">
        <v>1750701637.6</v>
      </c>
      <c r="CZ54" t="s">
        <v>468</v>
      </c>
      <c r="DA54">
        <v>1750701637.6</v>
      </c>
      <c r="DB54">
        <v>1750701514.6</v>
      </c>
      <c r="DC54">
        <v>35</v>
      </c>
      <c r="DD54">
        <v>-0.044</v>
      </c>
      <c r="DE54">
        <v>-0</v>
      </c>
      <c r="DF54">
        <v>2.061</v>
      </c>
      <c r="DG54">
        <v>0.099</v>
      </c>
      <c r="DH54">
        <v>405</v>
      </c>
      <c r="DI54">
        <v>15</v>
      </c>
      <c r="DJ54">
        <v>0.45</v>
      </c>
      <c r="DK54">
        <v>0.12</v>
      </c>
      <c r="DL54">
        <v>-3.823469</v>
      </c>
      <c r="DM54">
        <v>0.2263127954971848</v>
      </c>
      <c r="DN54">
        <v>0.03406235919603925</v>
      </c>
      <c r="DO54">
        <v>0</v>
      </c>
      <c r="DP54">
        <v>1.104347</v>
      </c>
      <c r="DQ54">
        <v>-0.4888869793621001</v>
      </c>
      <c r="DR54">
        <v>0.05000385956103789</v>
      </c>
      <c r="DS54">
        <v>0</v>
      </c>
      <c r="DT54">
        <v>0</v>
      </c>
      <c r="DU54">
        <v>2</v>
      </c>
      <c r="DV54" t="s">
        <v>372</v>
      </c>
      <c r="DW54">
        <v>3.44783</v>
      </c>
      <c r="DX54">
        <v>2.78119</v>
      </c>
      <c r="DY54">
        <v>0.09753149999999999</v>
      </c>
      <c r="DZ54">
        <v>0.0985627</v>
      </c>
      <c r="EA54">
        <v>0.0869954</v>
      </c>
      <c r="EB54">
        <v>0.0823892</v>
      </c>
      <c r="EC54">
        <v>27329.6</v>
      </c>
      <c r="ED54">
        <v>31061.6</v>
      </c>
      <c r="EE54">
        <v>29404.9</v>
      </c>
      <c r="EF54">
        <v>35034.5</v>
      </c>
      <c r="EG54">
        <v>31049.9</v>
      </c>
      <c r="EH54">
        <v>39931.2</v>
      </c>
      <c r="EI54">
        <v>36203.2</v>
      </c>
      <c r="EJ54">
        <v>46404.9</v>
      </c>
      <c r="EK54">
        <v>2.01565</v>
      </c>
      <c r="EL54">
        <v>2.29935</v>
      </c>
      <c r="EM54">
        <v>0.0890493</v>
      </c>
      <c r="EN54">
        <v>0</v>
      </c>
      <c r="EO54">
        <v>20.9307</v>
      </c>
      <c r="EP54">
        <v>999.9</v>
      </c>
      <c r="EQ54">
        <v>55.3</v>
      </c>
      <c r="ER54">
        <v>25.2</v>
      </c>
      <c r="ES54">
        <v>17.5353</v>
      </c>
      <c r="ET54">
        <v>61.7764</v>
      </c>
      <c r="EU54">
        <v>26.5345</v>
      </c>
      <c r="EV54">
        <v>2</v>
      </c>
      <c r="EW54">
        <v>-0.485739</v>
      </c>
      <c r="EX54">
        <v>0</v>
      </c>
      <c r="EY54">
        <v>20.2943</v>
      </c>
      <c r="EZ54">
        <v>5.21564</v>
      </c>
      <c r="FA54">
        <v>11.968</v>
      </c>
      <c r="FB54">
        <v>4.99165</v>
      </c>
      <c r="FC54">
        <v>3.27198</v>
      </c>
      <c r="FD54">
        <v>2835.7</v>
      </c>
      <c r="FE54">
        <v>9999</v>
      </c>
      <c r="FF54">
        <v>9999</v>
      </c>
      <c r="FG54">
        <v>999.9</v>
      </c>
      <c r="FH54">
        <v>4.97258</v>
      </c>
      <c r="FI54">
        <v>1.86249</v>
      </c>
      <c r="FJ54">
        <v>1.86426</v>
      </c>
      <c r="FK54">
        <v>1.86266</v>
      </c>
      <c r="FL54">
        <v>1.86269</v>
      </c>
      <c r="FM54">
        <v>1.86328</v>
      </c>
      <c r="FN54">
        <v>1.85978</v>
      </c>
      <c r="FO54">
        <v>1.86264</v>
      </c>
      <c r="FP54">
        <v>0</v>
      </c>
      <c r="FQ54">
        <v>0</v>
      </c>
      <c r="FR54">
        <v>0</v>
      </c>
      <c r="FS54">
        <v>0</v>
      </c>
      <c r="FT54" t="s">
        <v>356</v>
      </c>
      <c r="FU54" t="s">
        <v>357</v>
      </c>
      <c r="FV54" t="s">
        <v>358</v>
      </c>
      <c r="FW54" t="s">
        <v>358</v>
      </c>
      <c r="FX54" t="s">
        <v>358</v>
      </c>
      <c r="FY54" t="s">
        <v>358</v>
      </c>
      <c r="FZ54">
        <v>0</v>
      </c>
      <c r="GA54">
        <v>100</v>
      </c>
      <c r="GB54">
        <v>100</v>
      </c>
      <c r="GC54">
        <v>2.061</v>
      </c>
      <c r="GD54">
        <v>0.1198</v>
      </c>
      <c r="GE54">
        <v>2.388343416768291</v>
      </c>
      <c r="GF54">
        <v>-0.001033730503750798</v>
      </c>
      <c r="GG54">
        <v>9.120241388950126E-07</v>
      </c>
      <c r="GH54">
        <v>-2.246115299815222E-10</v>
      </c>
      <c r="GI54">
        <v>-0.01914849958218921</v>
      </c>
      <c r="GJ54">
        <v>-0.01814858093373864</v>
      </c>
      <c r="GK54">
        <v>0.002091959988359369</v>
      </c>
      <c r="GL54">
        <v>-1.90871700788604E-05</v>
      </c>
      <c r="GM54">
        <v>2</v>
      </c>
      <c r="GN54">
        <v>2210</v>
      </c>
      <c r="GO54">
        <v>1</v>
      </c>
      <c r="GP54">
        <v>26</v>
      </c>
      <c r="GQ54">
        <v>1.8</v>
      </c>
      <c r="GR54">
        <v>1.8</v>
      </c>
      <c r="GS54">
        <v>1.26465</v>
      </c>
      <c r="GT54">
        <v>2.38892</v>
      </c>
      <c r="GU54">
        <v>2.34863</v>
      </c>
      <c r="GV54">
        <v>2.75269</v>
      </c>
      <c r="GW54">
        <v>2.39868</v>
      </c>
      <c r="GX54">
        <v>2.25342</v>
      </c>
      <c r="GY54">
        <v>29.3039</v>
      </c>
      <c r="GZ54">
        <v>13.4403</v>
      </c>
      <c r="HA54">
        <v>18</v>
      </c>
      <c r="HB54">
        <v>440.644</v>
      </c>
      <c r="HC54">
        <v>660.5119999999999</v>
      </c>
      <c r="HD54">
        <v>22.1614</v>
      </c>
      <c r="HE54">
        <v>21.0418</v>
      </c>
      <c r="HF54">
        <v>30.0001</v>
      </c>
      <c r="HG54">
        <v>20.9293</v>
      </c>
      <c r="HH54">
        <v>20.874</v>
      </c>
      <c r="HI54">
        <v>25.3611</v>
      </c>
      <c r="HJ54">
        <v>22.9485</v>
      </c>
      <c r="HK54">
        <v>13.5411</v>
      </c>
      <c r="HL54">
        <v>-999.9</v>
      </c>
      <c r="HM54">
        <v>405</v>
      </c>
      <c r="HN54">
        <v>14.3328</v>
      </c>
      <c r="HO54">
        <v>100.969</v>
      </c>
      <c r="HP54">
        <v>101.298</v>
      </c>
    </row>
    <row r="55" spans="1:224">
      <c r="A55">
        <v>39</v>
      </c>
      <c r="B55">
        <v>1750702027.6</v>
      </c>
      <c r="C55">
        <v>7164.5</v>
      </c>
      <c r="D55" t="s">
        <v>469</v>
      </c>
      <c r="E55" t="s">
        <v>470</v>
      </c>
      <c r="F55">
        <v>15</v>
      </c>
      <c r="G55">
        <v>1750702019.599999</v>
      </c>
      <c r="H55">
        <f>(I55)/1000</f>
        <v>0</v>
      </c>
      <c r="I55">
        <f>IF(BD55, AL55, AF55)</f>
        <v>0</v>
      </c>
      <c r="J55">
        <f>IF(BD55, AG55, AE55)</f>
        <v>0</v>
      </c>
      <c r="K55">
        <f>BF55 - IF(AS55&gt;1, J55*AZ55*100.0/(AU55), 0)</f>
        <v>0</v>
      </c>
      <c r="L55">
        <f>((R55-H55/2)*K55-J55)/(R55+H55/2)</f>
        <v>0</v>
      </c>
      <c r="M55">
        <f>L55*(BM55+BN55)/1000.0</f>
        <v>0</v>
      </c>
      <c r="N55">
        <f>(BF55 - IF(AS55&gt;1, J55*AZ55*100.0/(AU55), 0))*(BM55+BN55)/1000.0</f>
        <v>0</v>
      </c>
      <c r="O55">
        <f>2.0/((1/Q55-1/P55)+SIGN(Q55)*SQRT((1/Q55-1/P55)*(1/Q55-1/P55) + 4*BA55/((BA55+1)*(BA55+1))*(2*1/Q55*1/P55-1/P55*1/P55)))</f>
        <v>0</v>
      </c>
      <c r="P55">
        <f>IF(LEFT(BB55,1)&lt;&gt;"0",IF(LEFT(BB55,1)="1",3.0,BC55),$D$5+$E$5*(BT55*BM55/($K$5*1000))+$F$5*(BT55*BM55/($K$5*1000))*MAX(MIN(AZ55,$J$5),$I$5)*MAX(MIN(AZ55,$J$5),$I$5)+$G$5*MAX(MIN(AZ55,$J$5),$I$5)*(BT55*BM55/($K$5*1000))+$H$5*(BT55*BM55/($K$5*1000))*(BT55*BM55/($K$5*1000)))</f>
        <v>0</v>
      </c>
      <c r="Q55">
        <f>H55*(1000-(1000*0.61365*exp(17.502*U55/(240.97+U55))/(BM55+BN55)+BH55)/2)/(1000*0.61365*exp(17.502*U55/(240.97+U55))/(BM55+BN55)-BH55)</f>
        <v>0</v>
      </c>
      <c r="R55">
        <f>1/((BA55+1)/(O55/1.6)+1/(P55/1.37)) + BA55/((BA55+1)/(O55/1.6) + BA55/(P55/1.37))</f>
        <v>0</v>
      </c>
      <c r="S55">
        <f>(AV55*AY55)</f>
        <v>0</v>
      </c>
      <c r="T55">
        <f>(BO55+(S55+2*0.95*5.67E-8*(((BO55+$B$7)+273)^4-(BO55+273)^4)-44100*H55)/(1.84*29.3*P55+8*0.95*5.67E-8*(BO55+273)^3))</f>
        <v>0</v>
      </c>
      <c r="U55">
        <f>($C$7*BP55+$D$7*BQ55+$E$7*T55)</f>
        <v>0</v>
      </c>
      <c r="V55">
        <f>0.61365*exp(17.502*U55/(240.97+U55))</f>
        <v>0</v>
      </c>
      <c r="W55">
        <f>(X55/Y55*100)</f>
        <v>0</v>
      </c>
      <c r="X55">
        <f>BH55*(BM55+BN55)/1000</f>
        <v>0</v>
      </c>
      <c r="Y55">
        <f>0.61365*exp(17.502*BO55/(240.97+BO55))</f>
        <v>0</v>
      </c>
      <c r="Z55">
        <f>(V55-BH55*(BM55+BN55)/1000)</f>
        <v>0</v>
      </c>
      <c r="AA55">
        <f>(-H55*44100)</f>
        <v>0</v>
      </c>
      <c r="AB55">
        <f>2*29.3*P55*0.92*(BO55-U55)</f>
        <v>0</v>
      </c>
      <c r="AC55">
        <f>2*0.95*5.67E-8*(((BO55+$B$7)+273)^4-(U55+273)^4)</f>
        <v>0</v>
      </c>
      <c r="AD55">
        <f>S55+AC55+AA55+AB55</f>
        <v>0</v>
      </c>
      <c r="AE55">
        <f>BL55*AS55*(BG55-BF55*(1000-AS55*BI55)/(1000-AS55*BH55))/(100*AZ55)</f>
        <v>0</v>
      </c>
      <c r="AF55">
        <f>1000*BL55*AS55*(BH55-BI55)/(100*AZ55*(1000-AS55*BH55))</f>
        <v>0</v>
      </c>
      <c r="AG55">
        <f>(AH55 - AI55 - BM55*1E3/(8.314*(BO55+273.15)) * AK55/BL55 * AJ55) * BL55/(100*AZ55) * (1000 - BI55)/1000</f>
        <v>0</v>
      </c>
      <c r="AH55">
        <v>410.759206855424</v>
      </c>
      <c r="AI55">
        <v>405.002103030303</v>
      </c>
      <c r="AJ55">
        <v>-0.0008123190035111841</v>
      </c>
      <c r="AK55">
        <v>66.95990893183001</v>
      </c>
      <c r="AL55">
        <f>(AN55 - AM55 + BM55*1E3/(8.314*(BO55+273.15)) * AP55/BL55 * AO55) * BL55/(100*AZ55) * 1000/(1000 - AN55)</f>
        <v>0</v>
      </c>
      <c r="AM55">
        <v>14.08685374899206</v>
      </c>
      <c r="AN55">
        <v>15.39847575757575</v>
      </c>
      <c r="AO55">
        <v>-0.0001697535873559674</v>
      </c>
      <c r="AP55">
        <v>79.1910916710396</v>
      </c>
      <c r="AQ55">
        <v>5</v>
      </c>
      <c r="AR55">
        <v>1</v>
      </c>
      <c r="AS55">
        <f>IF(AQ55*$H$13&gt;=AU55,1.0,(AU55/(AU55-AQ55*$H$13)))</f>
        <v>0</v>
      </c>
      <c r="AT55">
        <f>(AS55-1)*100</f>
        <v>0</v>
      </c>
      <c r="AU55">
        <f>MAX(0,($B$13+$C$13*BT55)/(1+$D$13*BT55)*BM55/(BO55+273)*$E$13)</f>
        <v>0</v>
      </c>
      <c r="AV55">
        <f>$B$11*BU55+$C$11*BV55+$F$11*CG55*(1-CJ55)</f>
        <v>0</v>
      </c>
      <c r="AW55">
        <f>AV55*AX55</f>
        <v>0</v>
      </c>
      <c r="AX55">
        <f>($B$11*$D$9+$C$11*$D$9+$F$11*((CT55+CL55)/MAX(CT55+CL55+CU55, 0.1)*$I$9+CU55/MAX(CT55+CL55+CU55, 0.1)*$J$9))/($B$11+$C$11+$F$11)</f>
        <v>0</v>
      </c>
      <c r="AY55">
        <f>($B$11*$K$9+$C$11*$K$9+$F$11*((CT55+CL55)/MAX(CT55+CL55+CU55, 0.1)*$P$9+CU55/MAX(CT55+CL55+CU55, 0.1)*$Q$9))/($B$11+$C$11+$F$11)</f>
        <v>0</v>
      </c>
      <c r="AZ55">
        <v>6</v>
      </c>
      <c r="BA55">
        <v>0.5</v>
      </c>
      <c r="BB55" t="s">
        <v>353</v>
      </c>
      <c r="BC55">
        <v>2</v>
      </c>
      <c r="BD55" t="b">
        <v>0</v>
      </c>
      <c r="BE55">
        <v>1750702019.599999</v>
      </c>
      <c r="BF55">
        <v>398.7722580645162</v>
      </c>
      <c r="BG55">
        <v>405.0038064516129</v>
      </c>
      <c r="BH55">
        <v>15.41052580645161</v>
      </c>
      <c r="BI55">
        <v>14.09339032258064</v>
      </c>
      <c r="BJ55">
        <v>396.7202580645161</v>
      </c>
      <c r="BK55">
        <v>15.28643548387097</v>
      </c>
      <c r="BL55">
        <v>800.007064516129</v>
      </c>
      <c r="BM55">
        <v>101.4752903225806</v>
      </c>
      <c r="BN55">
        <v>0.09996809354838711</v>
      </c>
      <c r="BO55">
        <v>23.23515483870968</v>
      </c>
      <c r="BP55">
        <v>22.71059032258065</v>
      </c>
      <c r="BQ55">
        <v>999.9000000000003</v>
      </c>
      <c r="BR55">
        <v>0</v>
      </c>
      <c r="BS55">
        <v>0</v>
      </c>
      <c r="BT55">
        <v>10003.4870967742</v>
      </c>
      <c r="BU55">
        <v>0</v>
      </c>
      <c r="BV55">
        <v>0.00152894</v>
      </c>
      <c r="BW55">
        <v>-6.219839032258064</v>
      </c>
      <c r="BX55">
        <v>405.0254193548387</v>
      </c>
      <c r="BY55">
        <v>410.7932258064516</v>
      </c>
      <c r="BZ55">
        <v>1.317128387096774</v>
      </c>
      <c r="CA55">
        <v>405.0038064516129</v>
      </c>
      <c r="CB55">
        <v>14.09339032258064</v>
      </c>
      <c r="CC55">
        <v>1.563786774193548</v>
      </c>
      <c r="CD55">
        <v>1.430130645161291</v>
      </c>
      <c r="CE55">
        <v>13.60650967741936</v>
      </c>
      <c r="CF55">
        <v>12.24092580645161</v>
      </c>
      <c r="CG55">
        <v>999.9835483870967</v>
      </c>
      <c r="CH55">
        <v>0.9600075806451613</v>
      </c>
      <c r="CI55">
        <v>0.03999225806451615</v>
      </c>
      <c r="CJ55">
        <v>0</v>
      </c>
      <c r="CK55">
        <v>-0.197258064516129</v>
      </c>
      <c r="CL55">
        <v>0</v>
      </c>
      <c r="CM55">
        <v>8466.315161290322</v>
      </c>
      <c r="CN55">
        <v>7946.815161290324</v>
      </c>
      <c r="CO55">
        <v>37.54416129032258</v>
      </c>
      <c r="CP55">
        <v>40.64293548387096</v>
      </c>
      <c r="CQ55">
        <v>38.90303225806451</v>
      </c>
      <c r="CR55">
        <v>40.26183870967741</v>
      </c>
      <c r="CS55">
        <v>37.56022580645161</v>
      </c>
      <c r="CT55">
        <v>959.992258064516</v>
      </c>
      <c r="CU55">
        <v>39.99193548387098</v>
      </c>
      <c r="CV55">
        <v>0</v>
      </c>
      <c r="CW55">
        <v>1750702044.2</v>
      </c>
      <c r="CX55">
        <v>0</v>
      </c>
      <c r="CY55">
        <v>1750702048.1</v>
      </c>
      <c r="CZ55" t="s">
        <v>471</v>
      </c>
      <c r="DA55">
        <v>1750702048.1</v>
      </c>
      <c r="DB55">
        <v>1750701514.6</v>
      </c>
      <c r="DC55">
        <v>36</v>
      </c>
      <c r="DD55">
        <v>-0.008999999999999999</v>
      </c>
      <c r="DE55">
        <v>-0</v>
      </c>
      <c r="DF55">
        <v>2.052</v>
      </c>
      <c r="DG55">
        <v>0.099</v>
      </c>
      <c r="DH55">
        <v>405</v>
      </c>
      <c r="DI55">
        <v>15</v>
      </c>
      <c r="DJ55">
        <v>0.52</v>
      </c>
      <c r="DK55">
        <v>0.12</v>
      </c>
      <c r="DL55">
        <v>-6.210389268292682</v>
      </c>
      <c r="DM55">
        <v>-0.06793693379789754</v>
      </c>
      <c r="DN55">
        <v>0.03623542286487504</v>
      </c>
      <c r="DO55">
        <v>1</v>
      </c>
      <c r="DP55">
        <v>1.320497317073171</v>
      </c>
      <c r="DQ55">
        <v>-0.05938222996515538</v>
      </c>
      <c r="DR55">
        <v>0.006312299656087725</v>
      </c>
      <c r="DS55">
        <v>1</v>
      </c>
      <c r="DT55">
        <v>2</v>
      </c>
      <c r="DU55">
        <v>2</v>
      </c>
      <c r="DV55" t="s">
        <v>362</v>
      </c>
      <c r="DW55">
        <v>3.44786</v>
      </c>
      <c r="DX55">
        <v>2.78054</v>
      </c>
      <c r="DY55">
        <v>0.09710050000000001</v>
      </c>
      <c r="DZ55">
        <v>0.0985673</v>
      </c>
      <c r="EA55">
        <v>0.0875143</v>
      </c>
      <c r="EB55">
        <v>0.08177860000000001</v>
      </c>
      <c r="EC55">
        <v>27344.6</v>
      </c>
      <c r="ED55">
        <v>31063.2</v>
      </c>
      <c r="EE55">
        <v>29406.9</v>
      </c>
      <c r="EF55">
        <v>35036.4</v>
      </c>
      <c r="EG55">
        <v>31034.8</v>
      </c>
      <c r="EH55">
        <v>39961.2</v>
      </c>
      <c r="EI55">
        <v>36206.6</v>
      </c>
      <c r="EJ55">
        <v>46408.9</v>
      </c>
      <c r="EK55">
        <v>2.54798</v>
      </c>
      <c r="EL55">
        <v>2.29953</v>
      </c>
      <c r="EM55">
        <v>0.09574000000000001</v>
      </c>
      <c r="EN55">
        <v>0</v>
      </c>
      <c r="EO55">
        <v>21.1496</v>
      </c>
      <c r="EP55">
        <v>999.9</v>
      </c>
      <c r="EQ55">
        <v>55.8</v>
      </c>
      <c r="ER55">
        <v>25.2</v>
      </c>
      <c r="ES55">
        <v>17.6951</v>
      </c>
      <c r="ET55">
        <v>61.6964</v>
      </c>
      <c r="EU55">
        <v>26.3261</v>
      </c>
      <c r="EV55">
        <v>2</v>
      </c>
      <c r="EW55">
        <v>-0.488979</v>
      </c>
      <c r="EX55">
        <v>0</v>
      </c>
      <c r="EY55">
        <v>20.2943</v>
      </c>
      <c r="EZ55">
        <v>5.21519</v>
      </c>
      <c r="FA55">
        <v>11.968</v>
      </c>
      <c r="FB55">
        <v>4.9916</v>
      </c>
      <c r="FC55">
        <v>3.27195</v>
      </c>
      <c r="FD55">
        <v>2848.7</v>
      </c>
      <c r="FE55">
        <v>9999</v>
      </c>
      <c r="FF55">
        <v>9999</v>
      </c>
      <c r="FG55">
        <v>999.9</v>
      </c>
      <c r="FH55">
        <v>4.97258</v>
      </c>
      <c r="FI55">
        <v>1.86252</v>
      </c>
      <c r="FJ55">
        <v>1.86432</v>
      </c>
      <c r="FK55">
        <v>1.86279</v>
      </c>
      <c r="FL55">
        <v>1.86279</v>
      </c>
      <c r="FM55">
        <v>1.86337</v>
      </c>
      <c r="FN55">
        <v>1.85989</v>
      </c>
      <c r="FO55">
        <v>1.86264</v>
      </c>
      <c r="FP55">
        <v>0</v>
      </c>
      <c r="FQ55">
        <v>0</v>
      </c>
      <c r="FR55">
        <v>0</v>
      </c>
      <c r="FS55">
        <v>0</v>
      </c>
      <c r="FT55" t="s">
        <v>356</v>
      </c>
      <c r="FU55" t="s">
        <v>357</v>
      </c>
      <c r="FV55" t="s">
        <v>358</v>
      </c>
      <c r="FW55" t="s">
        <v>358</v>
      </c>
      <c r="FX55" t="s">
        <v>358</v>
      </c>
      <c r="FY55" t="s">
        <v>358</v>
      </c>
      <c r="FZ55">
        <v>0</v>
      </c>
      <c r="GA55">
        <v>100</v>
      </c>
      <c r="GB55">
        <v>100</v>
      </c>
      <c r="GC55">
        <v>2.052</v>
      </c>
      <c r="GD55">
        <v>0.1237</v>
      </c>
      <c r="GE55">
        <v>2.344155654495535</v>
      </c>
      <c r="GF55">
        <v>-0.001033730503750798</v>
      </c>
      <c r="GG55">
        <v>9.120241388950126E-07</v>
      </c>
      <c r="GH55">
        <v>-2.246115299815222E-10</v>
      </c>
      <c r="GI55">
        <v>-0.01914849958218921</v>
      </c>
      <c r="GJ55">
        <v>-0.01814858093373864</v>
      </c>
      <c r="GK55">
        <v>0.002091959988359369</v>
      </c>
      <c r="GL55">
        <v>-1.90871700788604E-05</v>
      </c>
      <c r="GM55">
        <v>2</v>
      </c>
      <c r="GN55">
        <v>2210</v>
      </c>
      <c r="GO55">
        <v>1</v>
      </c>
      <c r="GP55">
        <v>26</v>
      </c>
      <c r="GQ55">
        <v>6.5</v>
      </c>
      <c r="GR55">
        <v>8.6</v>
      </c>
      <c r="GS55">
        <v>1.26465</v>
      </c>
      <c r="GT55">
        <v>2.38403</v>
      </c>
      <c r="GU55">
        <v>2.34863</v>
      </c>
      <c r="GV55">
        <v>2.75146</v>
      </c>
      <c r="GW55">
        <v>2.39868</v>
      </c>
      <c r="GX55">
        <v>2.26196</v>
      </c>
      <c r="GY55">
        <v>29.3676</v>
      </c>
      <c r="GZ55">
        <v>13.344</v>
      </c>
      <c r="HA55">
        <v>18</v>
      </c>
      <c r="HB55">
        <v>795.684</v>
      </c>
      <c r="HC55">
        <v>660.255</v>
      </c>
      <c r="HD55">
        <v>22.2539</v>
      </c>
      <c r="HE55">
        <v>21.0008</v>
      </c>
      <c r="HF55">
        <v>30</v>
      </c>
      <c r="HG55">
        <v>20.8855</v>
      </c>
      <c r="HH55">
        <v>20.8442</v>
      </c>
      <c r="HI55">
        <v>25.3576</v>
      </c>
      <c r="HJ55">
        <v>25.4893</v>
      </c>
      <c r="HK55">
        <v>21.4962</v>
      </c>
      <c r="HL55">
        <v>-999.9</v>
      </c>
      <c r="HM55">
        <v>405</v>
      </c>
      <c r="HN55">
        <v>14.1852</v>
      </c>
      <c r="HO55">
        <v>100.977</v>
      </c>
      <c r="HP55">
        <v>101.305</v>
      </c>
    </row>
    <row r="56" spans="1:224">
      <c r="A56">
        <v>40</v>
      </c>
      <c r="B56">
        <v>1750702157.1</v>
      </c>
      <c r="C56">
        <v>7294</v>
      </c>
      <c r="D56" t="s">
        <v>472</v>
      </c>
      <c r="E56" t="s">
        <v>473</v>
      </c>
      <c r="F56">
        <v>15</v>
      </c>
      <c r="G56">
        <v>1750702149.099999</v>
      </c>
      <c r="H56">
        <f>(I56)/1000</f>
        <v>0</v>
      </c>
      <c r="I56">
        <f>IF(BD56, AL56, AF56)</f>
        <v>0</v>
      </c>
      <c r="J56">
        <f>IF(BD56, AG56, AE56)</f>
        <v>0</v>
      </c>
      <c r="K56">
        <f>BF56 - IF(AS56&gt;1, J56*AZ56*100.0/(AU56), 0)</f>
        <v>0</v>
      </c>
      <c r="L56">
        <f>((R56-H56/2)*K56-J56)/(R56+H56/2)</f>
        <v>0</v>
      </c>
      <c r="M56">
        <f>L56*(BM56+BN56)/1000.0</f>
        <v>0</v>
      </c>
      <c r="N56">
        <f>(BF56 - IF(AS56&gt;1, J56*AZ56*100.0/(AU56), 0))*(BM56+BN56)/1000.0</f>
        <v>0</v>
      </c>
      <c r="O56">
        <f>2.0/((1/Q56-1/P56)+SIGN(Q56)*SQRT((1/Q56-1/P56)*(1/Q56-1/P56) + 4*BA56/((BA56+1)*(BA56+1))*(2*1/Q56*1/P56-1/P56*1/P56)))</f>
        <v>0</v>
      </c>
      <c r="P56">
        <f>IF(LEFT(BB56,1)&lt;&gt;"0",IF(LEFT(BB56,1)="1",3.0,BC56),$D$5+$E$5*(BT56*BM56/($K$5*1000))+$F$5*(BT56*BM56/($K$5*1000))*MAX(MIN(AZ56,$J$5),$I$5)*MAX(MIN(AZ56,$J$5),$I$5)+$G$5*MAX(MIN(AZ56,$J$5),$I$5)*(BT56*BM56/($K$5*1000))+$H$5*(BT56*BM56/($K$5*1000))*(BT56*BM56/($K$5*1000)))</f>
        <v>0</v>
      </c>
      <c r="Q56">
        <f>H56*(1000-(1000*0.61365*exp(17.502*U56/(240.97+U56))/(BM56+BN56)+BH56)/2)/(1000*0.61365*exp(17.502*U56/(240.97+U56))/(BM56+BN56)-BH56)</f>
        <v>0</v>
      </c>
      <c r="R56">
        <f>1/((BA56+1)/(O56/1.6)+1/(P56/1.37)) + BA56/((BA56+1)/(O56/1.6) + BA56/(P56/1.37))</f>
        <v>0</v>
      </c>
      <c r="S56">
        <f>(AV56*AY56)</f>
        <v>0</v>
      </c>
      <c r="T56">
        <f>(BO56+(S56+2*0.95*5.67E-8*(((BO56+$B$7)+273)^4-(BO56+273)^4)-44100*H56)/(1.84*29.3*P56+8*0.95*5.67E-8*(BO56+273)^3))</f>
        <v>0</v>
      </c>
      <c r="U56">
        <f>($C$7*BP56+$D$7*BQ56+$E$7*T56)</f>
        <v>0</v>
      </c>
      <c r="V56">
        <f>0.61365*exp(17.502*U56/(240.97+U56))</f>
        <v>0</v>
      </c>
      <c r="W56">
        <f>(X56/Y56*100)</f>
        <v>0</v>
      </c>
      <c r="X56">
        <f>BH56*(BM56+BN56)/1000</f>
        <v>0</v>
      </c>
      <c r="Y56">
        <f>0.61365*exp(17.502*BO56/(240.97+BO56))</f>
        <v>0</v>
      </c>
      <c r="Z56">
        <f>(V56-BH56*(BM56+BN56)/1000)</f>
        <v>0</v>
      </c>
      <c r="AA56">
        <f>(-H56*44100)</f>
        <v>0</v>
      </c>
      <c r="AB56">
        <f>2*29.3*P56*0.92*(BO56-U56)</f>
        <v>0</v>
      </c>
      <c r="AC56">
        <f>2*0.95*5.67E-8*(((BO56+$B$7)+273)^4-(U56+273)^4)</f>
        <v>0</v>
      </c>
      <c r="AD56">
        <f>S56+AC56+AA56+AB56</f>
        <v>0</v>
      </c>
      <c r="AE56">
        <f>BL56*AS56*(BG56-BF56*(1000-AS56*BI56)/(1000-AS56*BH56))/(100*AZ56)</f>
        <v>0</v>
      </c>
      <c r="AF56">
        <f>1000*BL56*AS56*(BH56-BI56)/(100*AZ56*(1000-AS56*BH56))</f>
        <v>0</v>
      </c>
      <c r="AG56">
        <f>(AH56 - AI56 - BM56*1E3/(8.314*(BO56+273.15)) * AK56/BL56 * AJ56) * BL56/(100*AZ56) * (1000 - BI56)/1000</f>
        <v>0</v>
      </c>
      <c r="AH56">
        <v>410.1475444196251</v>
      </c>
      <c r="AI56">
        <v>401.9918545454545</v>
      </c>
      <c r="AJ56">
        <v>-0.003370231858692558</v>
      </c>
      <c r="AK56">
        <v>66.95779162201333</v>
      </c>
      <c r="AL56">
        <f>(AN56 - AM56 + BM56*1E3/(8.314*(BO56+273.15)) * AP56/BL56 * AO56) * BL56/(100*AZ56) * 1000/(1000 - AN56)</f>
        <v>0</v>
      </c>
      <c r="AM56">
        <v>12.63826104977107</v>
      </c>
      <c r="AN56">
        <v>15.40492666666666</v>
      </c>
      <c r="AO56">
        <v>0.001978926943678094</v>
      </c>
      <c r="AP56">
        <v>79.21808020207192</v>
      </c>
      <c r="AQ56">
        <v>583</v>
      </c>
      <c r="AR56">
        <v>73</v>
      </c>
      <c r="AS56">
        <f>IF(AQ56*$H$13&gt;=AU56,1.0,(AU56/(AU56-AQ56*$H$13)))</f>
        <v>0</v>
      </c>
      <c r="AT56">
        <f>(AS56-1)*100</f>
        <v>0</v>
      </c>
      <c r="AU56">
        <f>MAX(0,($B$13+$C$13*BT56)/(1+$D$13*BT56)*BM56/(BO56+273)*$E$13)</f>
        <v>0</v>
      </c>
      <c r="AV56">
        <f>$B$11*BU56+$C$11*BV56+$F$11*CG56*(1-CJ56)</f>
        <v>0</v>
      </c>
      <c r="AW56">
        <f>AV56*AX56</f>
        <v>0</v>
      </c>
      <c r="AX56">
        <f>($B$11*$D$9+$C$11*$D$9+$F$11*((CT56+CL56)/MAX(CT56+CL56+CU56, 0.1)*$I$9+CU56/MAX(CT56+CL56+CU56, 0.1)*$J$9))/($B$11+$C$11+$F$11)</f>
        <v>0</v>
      </c>
      <c r="AY56">
        <f>($B$11*$K$9+$C$11*$K$9+$F$11*((CT56+CL56)/MAX(CT56+CL56+CU56, 0.1)*$P$9+CU56/MAX(CT56+CL56+CU56, 0.1)*$Q$9))/($B$11+$C$11+$F$11)</f>
        <v>0</v>
      </c>
      <c r="AZ56">
        <v>6</v>
      </c>
      <c r="BA56">
        <v>0.5</v>
      </c>
      <c r="BB56" t="s">
        <v>353</v>
      </c>
      <c r="BC56">
        <v>2</v>
      </c>
      <c r="BD56" t="b">
        <v>0</v>
      </c>
      <c r="BE56">
        <v>1750702149.099999</v>
      </c>
      <c r="BF56">
        <v>395.7974838709677</v>
      </c>
      <c r="BG56">
        <v>404.9540967741935</v>
      </c>
      <c r="BH56">
        <v>15.2658064516129</v>
      </c>
      <c r="BI56">
        <v>12.56924838709677</v>
      </c>
      <c r="BJ56">
        <v>393.7794838709677</v>
      </c>
      <c r="BK56">
        <v>15.2438064516129</v>
      </c>
      <c r="BL56">
        <v>799.9979032258062</v>
      </c>
      <c r="BM56">
        <v>101.4768709677419</v>
      </c>
      <c r="BN56">
        <v>0.1001550903225807</v>
      </c>
      <c r="BO56">
        <v>23.32366451612904</v>
      </c>
      <c r="BP56">
        <v>22.64897096774194</v>
      </c>
      <c r="BQ56">
        <v>999.9000000000003</v>
      </c>
      <c r="BR56">
        <v>0</v>
      </c>
      <c r="BS56">
        <v>0</v>
      </c>
      <c r="BT56">
        <v>9992.193225806452</v>
      </c>
      <c r="BU56">
        <v>0</v>
      </c>
      <c r="BV56">
        <v>0.00152894</v>
      </c>
      <c r="BW56">
        <v>-9.118908064516129</v>
      </c>
      <c r="BX56">
        <v>402.0127419354839</v>
      </c>
      <c r="BY56">
        <v>410.1087741935484</v>
      </c>
      <c r="BZ56">
        <v>2.797257419354838</v>
      </c>
      <c r="CA56">
        <v>404.9540967741935</v>
      </c>
      <c r="CB56">
        <v>12.56924838709677</v>
      </c>
      <c r="CC56">
        <v>1.559345806451613</v>
      </c>
      <c r="CD56">
        <v>1.275488709677419</v>
      </c>
      <c r="CE56">
        <v>13.56280967741935</v>
      </c>
      <c r="CF56">
        <v>10.51295806451613</v>
      </c>
      <c r="CG56">
        <v>999.9929354838708</v>
      </c>
      <c r="CH56">
        <v>0.9599927741935482</v>
      </c>
      <c r="CI56">
        <v>0.04000733548387096</v>
      </c>
      <c r="CJ56">
        <v>0</v>
      </c>
      <c r="CK56">
        <v>0.8948387096774192</v>
      </c>
      <c r="CL56">
        <v>0</v>
      </c>
      <c r="CM56">
        <v>13039.66129032258</v>
      </c>
      <c r="CN56">
        <v>7946.836774193548</v>
      </c>
      <c r="CO56">
        <v>38.52196774193547</v>
      </c>
      <c r="CP56">
        <v>41.5803870967742</v>
      </c>
      <c r="CQ56">
        <v>39.86070967741935</v>
      </c>
      <c r="CR56">
        <v>41.66912903225806</v>
      </c>
      <c r="CS56">
        <v>38.50583870967741</v>
      </c>
      <c r="CT56">
        <v>959.984193548387</v>
      </c>
      <c r="CU56">
        <v>40.00838709677419</v>
      </c>
      <c r="CV56">
        <v>0</v>
      </c>
      <c r="CW56">
        <v>1750702173.8</v>
      </c>
      <c r="CX56">
        <v>0</v>
      </c>
      <c r="CY56">
        <v>1750702185.6</v>
      </c>
      <c r="CZ56" t="s">
        <v>474</v>
      </c>
      <c r="DA56">
        <v>1750702181.1</v>
      </c>
      <c r="DB56">
        <v>1750702185.6</v>
      </c>
      <c r="DC56">
        <v>37</v>
      </c>
      <c r="DD56">
        <v>-0.033</v>
      </c>
      <c r="DE56">
        <v>-0.025</v>
      </c>
      <c r="DF56">
        <v>2.018</v>
      </c>
      <c r="DG56">
        <v>0.022</v>
      </c>
      <c r="DH56">
        <v>405</v>
      </c>
      <c r="DI56">
        <v>13</v>
      </c>
      <c r="DJ56">
        <v>0.24</v>
      </c>
      <c r="DK56">
        <v>0.03</v>
      </c>
      <c r="DL56">
        <v>-9.08588975</v>
      </c>
      <c r="DM56">
        <v>-0.6505228142589062</v>
      </c>
      <c r="DN56">
        <v>0.0729799919665486</v>
      </c>
      <c r="DO56">
        <v>0</v>
      </c>
      <c r="DP56">
        <v>2.83432625</v>
      </c>
      <c r="DQ56">
        <v>-0.7037712945590994</v>
      </c>
      <c r="DR56">
        <v>0.07162476089619775</v>
      </c>
      <c r="DS56">
        <v>0</v>
      </c>
      <c r="DT56">
        <v>0</v>
      </c>
      <c r="DU56">
        <v>2</v>
      </c>
      <c r="DV56" t="s">
        <v>372</v>
      </c>
      <c r="DW56">
        <v>3.44706</v>
      </c>
      <c r="DX56">
        <v>2.78069</v>
      </c>
      <c r="DY56">
        <v>0.0965406</v>
      </c>
      <c r="DZ56">
        <v>0.0985601</v>
      </c>
      <c r="EA56">
        <v>0.0875462</v>
      </c>
      <c r="EB56">
        <v>0.07550750000000001</v>
      </c>
      <c r="EC56">
        <v>27361.4</v>
      </c>
      <c r="ED56">
        <v>31063.3</v>
      </c>
      <c r="EE56">
        <v>29406.8</v>
      </c>
      <c r="EF56">
        <v>35036.2</v>
      </c>
      <c r="EG56">
        <v>31033.6</v>
      </c>
      <c r="EH56">
        <v>40235.5</v>
      </c>
      <c r="EI56">
        <v>36206.6</v>
      </c>
      <c r="EJ56">
        <v>46409.3</v>
      </c>
      <c r="EK56">
        <v>1.34993</v>
      </c>
      <c r="EL56">
        <v>2.29562</v>
      </c>
      <c r="EM56">
        <v>0.100002</v>
      </c>
      <c r="EN56">
        <v>0</v>
      </c>
      <c r="EO56">
        <v>21.0111</v>
      </c>
      <c r="EP56">
        <v>999.9</v>
      </c>
      <c r="EQ56">
        <v>55.7</v>
      </c>
      <c r="ER56">
        <v>25.2</v>
      </c>
      <c r="ES56">
        <v>17.6621</v>
      </c>
      <c r="ET56">
        <v>62.1664</v>
      </c>
      <c r="EU56">
        <v>26.6186</v>
      </c>
      <c r="EV56">
        <v>2</v>
      </c>
      <c r="EW56">
        <v>-0.488509</v>
      </c>
      <c r="EX56">
        <v>0</v>
      </c>
      <c r="EY56">
        <v>20.2941</v>
      </c>
      <c r="EZ56">
        <v>5.21355</v>
      </c>
      <c r="FA56">
        <v>11.968</v>
      </c>
      <c r="FB56">
        <v>4.9915</v>
      </c>
      <c r="FC56">
        <v>3.27168</v>
      </c>
      <c r="FD56">
        <v>2852.6</v>
      </c>
      <c r="FE56">
        <v>9999</v>
      </c>
      <c r="FF56">
        <v>9999</v>
      </c>
      <c r="FG56">
        <v>999.9</v>
      </c>
      <c r="FH56">
        <v>4.9726</v>
      </c>
      <c r="FI56">
        <v>1.86257</v>
      </c>
      <c r="FJ56">
        <v>1.86432</v>
      </c>
      <c r="FK56">
        <v>1.86278</v>
      </c>
      <c r="FL56">
        <v>1.86279</v>
      </c>
      <c r="FM56">
        <v>1.8634</v>
      </c>
      <c r="FN56">
        <v>1.85987</v>
      </c>
      <c r="FO56">
        <v>1.86264</v>
      </c>
      <c r="FP56">
        <v>0</v>
      </c>
      <c r="FQ56">
        <v>0</v>
      </c>
      <c r="FR56">
        <v>0</v>
      </c>
      <c r="FS56">
        <v>0</v>
      </c>
      <c r="FT56" t="s">
        <v>356</v>
      </c>
      <c r="FU56" t="s">
        <v>357</v>
      </c>
      <c r="FV56" t="s">
        <v>358</v>
      </c>
      <c r="FW56" t="s">
        <v>358</v>
      </c>
      <c r="FX56" t="s">
        <v>358</v>
      </c>
      <c r="FY56" t="s">
        <v>358</v>
      </c>
      <c r="FZ56">
        <v>0</v>
      </c>
      <c r="GA56">
        <v>100</v>
      </c>
      <c r="GB56">
        <v>100</v>
      </c>
      <c r="GC56">
        <v>2.018</v>
      </c>
      <c r="GD56">
        <v>0.022</v>
      </c>
      <c r="GE56">
        <v>2.334994016419381</v>
      </c>
      <c r="GF56">
        <v>-0.001033730503750798</v>
      </c>
      <c r="GG56">
        <v>9.120241388950126E-07</v>
      </c>
      <c r="GH56">
        <v>-2.246115299815222E-10</v>
      </c>
      <c r="GI56">
        <v>-0.01914849958218921</v>
      </c>
      <c r="GJ56">
        <v>-0.01814858093373864</v>
      </c>
      <c r="GK56">
        <v>0.002091959988359369</v>
      </c>
      <c r="GL56">
        <v>-1.90871700788604E-05</v>
      </c>
      <c r="GM56">
        <v>2</v>
      </c>
      <c r="GN56">
        <v>2210</v>
      </c>
      <c r="GO56">
        <v>1</v>
      </c>
      <c r="GP56">
        <v>26</v>
      </c>
      <c r="GQ56">
        <v>1.8</v>
      </c>
      <c r="GR56">
        <v>10.7</v>
      </c>
      <c r="GS56">
        <v>1.26343</v>
      </c>
      <c r="GT56">
        <v>2.39258</v>
      </c>
      <c r="GU56">
        <v>2.34863</v>
      </c>
      <c r="GV56">
        <v>2.75391</v>
      </c>
      <c r="GW56">
        <v>2.39868</v>
      </c>
      <c r="GX56">
        <v>2.26562</v>
      </c>
      <c r="GY56">
        <v>29.3889</v>
      </c>
      <c r="GZ56">
        <v>13.3002</v>
      </c>
      <c r="HA56">
        <v>18</v>
      </c>
      <c r="HB56">
        <v>186.868</v>
      </c>
      <c r="HC56">
        <v>657.071</v>
      </c>
      <c r="HD56">
        <v>22.2567</v>
      </c>
      <c r="HE56">
        <v>21.0061</v>
      </c>
      <c r="HF56">
        <v>30</v>
      </c>
      <c r="HG56">
        <v>20.9261</v>
      </c>
      <c r="HH56">
        <v>20.8406</v>
      </c>
      <c r="HI56">
        <v>25.3296</v>
      </c>
      <c r="HJ56">
        <v>31.6387</v>
      </c>
      <c r="HK56">
        <v>20.3105</v>
      </c>
      <c r="HL56">
        <v>-999.9</v>
      </c>
      <c r="HM56">
        <v>405</v>
      </c>
      <c r="HN56">
        <v>12.7912</v>
      </c>
      <c r="HO56">
        <v>100.977</v>
      </c>
      <c r="HP56">
        <v>101.305</v>
      </c>
    </row>
    <row r="57" spans="1:224">
      <c r="A57">
        <v>41</v>
      </c>
      <c r="B57">
        <v>1750702288.6</v>
      </c>
      <c r="C57">
        <v>7425.5</v>
      </c>
      <c r="D57" t="s">
        <v>475</v>
      </c>
      <c r="E57" t="s">
        <v>476</v>
      </c>
      <c r="F57">
        <v>15</v>
      </c>
      <c r="G57">
        <v>1750702280.599999</v>
      </c>
      <c r="H57">
        <f>(I57)/1000</f>
        <v>0</v>
      </c>
      <c r="I57">
        <f>IF(BD57, AL57, AF57)</f>
        <v>0</v>
      </c>
      <c r="J57">
        <f>IF(BD57, AG57, AE57)</f>
        <v>0</v>
      </c>
      <c r="K57">
        <f>BF57 - IF(AS57&gt;1, J57*AZ57*100.0/(AU57), 0)</f>
        <v>0</v>
      </c>
      <c r="L57">
        <f>((R57-H57/2)*K57-J57)/(R57+H57/2)</f>
        <v>0</v>
      </c>
      <c r="M57">
        <f>L57*(BM57+BN57)/1000.0</f>
        <v>0</v>
      </c>
      <c r="N57">
        <f>(BF57 - IF(AS57&gt;1, J57*AZ57*100.0/(AU57), 0))*(BM57+BN57)/1000.0</f>
        <v>0</v>
      </c>
      <c r="O57">
        <f>2.0/((1/Q57-1/P57)+SIGN(Q57)*SQRT((1/Q57-1/P57)*(1/Q57-1/P57) + 4*BA57/((BA57+1)*(BA57+1))*(2*1/Q57*1/P57-1/P57*1/P57)))</f>
        <v>0</v>
      </c>
      <c r="P57">
        <f>IF(LEFT(BB57,1)&lt;&gt;"0",IF(LEFT(BB57,1)="1",3.0,BC57),$D$5+$E$5*(BT57*BM57/($K$5*1000))+$F$5*(BT57*BM57/($K$5*1000))*MAX(MIN(AZ57,$J$5),$I$5)*MAX(MIN(AZ57,$J$5),$I$5)+$G$5*MAX(MIN(AZ57,$J$5),$I$5)*(BT57*BM57/($K$5*1000))+$H$5*(BT57*BM57/($K$5*1000))*(BT57*BM57/($K$5*1000)))</f>
        <v>0</v>
      </c>
      <c r="Q57">
        <f>H57*(1000-(1000*0.61365*exp(17.502*U57/(240.97+U57))/(BM57+BN57)+BH57)/2)/(1000*0.61365*exp(17.502*U57/(240.97+U57))/(BM57+BN57)-BH57)</f>
        <v>0</v>
      </c>
      <c r="R57">
        <f>1/((BA57+1)/(O57/1.6)+1/(P57/1.37)) + BA57/((BA57+1)/(O57/1.6) + BA57/(P57/1.37))</f>
        <v>0</v>
      </c>
      <c r="S57">
        <f>(AV57*AY57)</f>
        <v>0</v>
      </c>
      <c r="T57">
        <f>(BO57+(S57+2*0.95*5.67E-8*(((BO57+$B$7)+273)^4-(BO57+273)^4)-44100*H57)/(1.84*29.3*P57+8*0.95*5.67E-8*(BO57+273)^3))</f>
        <v>0</v>
      </c>
      <c r="U57">
        <f>($C$7*BP57+$D$7*BQ57+$E$7*T57)</f>
        <v>0</v>
      </c>
      <c r="V57">
        <f>0.61365*exp(17.502*U57/(240.97+U57))</f>
        <v>0</v>
      </c>
      <c r="W57">
        <f>(X57/Y57*100)</f>
        <v>0</v>
      </c>
      <c r="X57">
        <f>BH57*(BM57+BN57)/1000</f>
        <v>0</v>
      </c>
      <c r="Y57">
        <f>0.61365*exp(17.502*BO57/(240.97+BO57))</f>
        <v>0</v>
      </c>
      <c r="Z57">
        <f>(V57-BH57*(BM57+BN57)/1000)</f>
        <v>0</v>
      </c>
      <c r="AA57">
        <f>(-H57*44100)</f>
        <v>0</v>
      </c>
      <c r="AB57">
        <f>2*29.3*P57*0.92*(BO57-U57)</f>
        <v>0</v>
      </c>
      <c r="AC57">
        <f>2*0.95*5.67E-8*(((BO57+$B$7)+273)^4-(U57+273)^4)</f>
        <v>0</v>
      </c>
      <c r="AD57">
        <f>S57+AC57+AA57+AB57</f>
        <v>0</v>
      </c>
      <c r="AE57">
        <f>BL57*AS57*(BG57-BF57*(1000-AS57*BI57)/(1000-AS57*BH57))/(100*AZ57)</f>
        <v>0</v>
      </c>
      <c r="AF57">
        <f>1000*BL57*AS57*(BH57-BI57)/(100*AZ57*(1000-AS57*BH57))</f>
        <v>0</v>
      </c>
      <c r="AG57">
        <f>(AH57 - AI57 - BM57*1E3/(8.314*(BO57+273.15)) * AK57/BL57 * AJ57) * BL57/(100*AZ57) * (1000 - BI57)/1000</f>
        <v>0</v>
      </c>
      <c r="AH57">
        <v>410.9008667812556</v>
      </c>
      <c r="AI57">
        <v>408.0923696969697</v>
      </c>
      <c r="AJ57">
        <v>0.006936789287064202</v>
      </c>
      <c r="AK57">
        <v>66.95414299479698</v>
      </c>
      <c r="AL57">
        <f>(AN57 - AM57 + BM57*1E3/(8.314*(BO57+273.15)) * AP57/BL57 * AO57) * BL57/(100*AZ57) * 1000/(1000 - AN57)</f>
        <v>0</v>
      </c>
      <c r="AM57">
        <v>14.42435787421707</v>
      </c>
      <c r="AN57">
        <v>15.49801151515152</v>
      </c>
      <c r="AO57">
        <v>0.0006847751955197302</v>
      </c>
      <c r="AP57">
        <v>79.27918109848133</v>
      </c>
      <c r="AQ57">
        <v>40</v>
      </c>
      <c r="AR57">
        <v>5</v>
      </c>
      <c r="AS57">
        <f>IF(AQ57*$H$13&gt;=AU57,1.0,(AU57/(AU57-AQ57*$H$13)))</f>
        <v>0</v>
      </c>
      <c r="AT57">
        <f>(AS57-1)*100</f>
        <v>0</v>
      </c>
      <c r="AU57">
        <f>MAX(0,($B$13+$C$13*BT57)/(1+$D$13*BT57)*BM57/(BO57+273)*$E$13)</f>
        <v>0</v>
      </c>
      <c r="AV57">
        <f>$B$11*BU57+$C$11*BV57+$F$11*CG57*(1-CJ57)</f>
        <v>0</v>
      </c>
      <c r="AW57">
        <f>AV57*AX57</f>
        <v>0</v>
      </c>
      <c r="AX57">
        <f>($B$11*$D$9+$C$11*$D$9+$F$11*((CT57+CL57)/MAX(CT57+CL57+CU57, 0.1)*$I$9+CU57/MAX(CT57+CL57+CU57, 0.1)*$J$9))/($B$11+$C$11+$F$11)</f>
        <v>0</v>
      </c>
      <c r="AY57">
        <f>($B$11*$K$9+$C$11*$K$9+$F$11*((CT57+CL57)/MAX(CT57+CL57+CU57, 0.1)*$P$9+CU57/MAX(CT57+CL57+CU57, 0.1)*$Q$9))/($B$11+$C$11+$F$11)</f>
        <v>0</v>
      </c>
      <c r="AZ57">
        <v>6</v>
      </c>
      <c r="BA57">
        <v>0.5</v>
      </c>
      <c r="BB57" t="s">
        <v>353</v>
      </c>
      <c r="BC57">
        <v>2</v>
      </c>
      <c r="BD57" t="b">
        <v>0</v>
      </c>
      <c r="BE57">
        <v>1750702280.599999</v>
      </c>
      <c r="BF57">
        <v>401.8045806451612</v>
      </c>
      <c r="BG57">
        <v>404.9895806451613</v>
      </c>
      <c r="BH57">
        <v>15.46781935483871</v>
      </c>
      <c r="BI57">
        <v>14.41508387096774</v>
      </c>
      <c r="BJ57">
        <v>399.7355806451612</v>
      </c>
      <c r="BK57">
        <v>15.36647096774194</v>
      </c>
      <c r="BL57">
        <v>800.0149032258066</v>
      </c>
      <c r="BM57">
        <v>101.4808387096774</v>
      </c>
      <c r="BN57">
        <v>0.09988981290322578</v>
      </c>
      <c r="BO57">
        <v>23.34668064516129</v>
      </c>
      <c r="BP57">
        <v>22.9524</v>
      </c>
      <c r="BQ57">
        <v>999.9000000000003</v>
      </c>
      <c r="BR57">
        <v>0</v>
      </c>
      <c r="BS57">
        <v>0</v>
      </c>
      <c r="BT57">
        <v>10003.93129032258</v>
      </c>
      <c r="BU57">
        <v>0</v>
      </c>
      <c r="BV57">
        <v>0.00152894</v>
      </c>
      <c r="BW57">
        <v>-3.234228709677419</v>
      </c>
      <c r="BX57">
        <v>408.0673225806452</v>
      </c>
      <c r="BY57">
        <v>410.9129999999999</v>
      </c>
      <c r="BZ57">
        <v>1.052747741935484</v>
      </c>
      <c r="CA57">
        <v>404.9895806451613</v>
      </c>
      <c r="CB57">
        <v>14.41508387096774</v>
      </c>
      <c r="CC57">
        <v>1.569687096774194</v>
      </c>
      <c r="CD57">
        <v>1.462854516129032</v>
      </c>
      <c r="CE57">
        <v>13.6643870967742</v>
      </c>
      <c r="CF57">
        <v>12.58533548387097</v>
      </c>
      <c r="CG57">
        <v>999.9986129032258</v>
      </c>
      <c r="CH57">
        <v>0.96001264516129</v>
      </c>
      <c r="CI57">
        <v>0.0399874193548387</v>
      </c>
      <c r="CJ57">
        <v>0</v>
      </c>
      <c r="CK57">
        <v>0.495</v>
      </c>
      <c r="CL57">
        <v>0</v>
      </c>
      <c r="CM57">
        <v>5905.871290322581</v>
      </c>
      <c r="CN57">
        <v>7946.949677419355</v>
      </c>
      <c r="CO57">
        <v>36.38487096774193</v>
      </c>
      <c r="CP57">
        <v>38.41706451612903</v>
      </c>
      <c r="CQ57">
        <v>37.70541935483871</v>
      </c>
      <c r="CR57">
        <v>37.79212903225805</v>
      </c>
      <c r="CS57">
        <v>36.52796774193548</v>
      </c>
      <c r="CT57">
        <v>960.0106451612904</v>
      </c>
      <c r="CU57">
        <v>39.98903225806452</v>
      </c>
      <c r="CV57">
        <v>0</v>
      </c>
      <c r="CW57">
        <v>1750702305.2</v>
      </c>
      <c r="CX57">
        <v>0</v>
      </c>
      <c r="CY57">
        <v>1750702305.6</v>
      </c>
      <c r="CZ57" t="s">
        <v>477</v>
      </c>
      <c r="DA57">
        <v>1750702305.6</v>
      </c>
      <c r="DB57">
        <v>1750702185.6</v>
      </c>
      <c r="DC57">
        <v>38</v>
      </c>
      <c r="DD57">
        <v>0.05</v>
      </c>
      <c r="DE57">
        <v>-0.025</v>
      </c>
      <c r="DF57">
        <v>2.069</v>
      </c>
      <c r="DG57">
        <v>0.022</v>
      </c>
      <c r="DH57">
        <v>405</v>
      </c>
      <c r="DI57">
        <v>13</v>
      </c>
      <c r="DJ57">
        <v>0.34</v>
      </c>
      <c r="DK57">
        <v>0.03</v>
      </c>
      <c r="DL57">
        <v>-3.227808</v>
      </c>
      <c r="DM57">
        <v>-0.01838341463415013</v>
      </c>
      <c r="DN57">
        <v>0.03416157491978378</v>
      </c>
      <c r="DO57">
        <v>1</v>
      </c>
      <c r="DP57">
        <v>1.043048575</v>
      </c>
      <c r="DQ57">
        <v>0.2391573771106929</v>
      </c>
      <c r="DR57">
        <v>0.02358093264895126</v>
      </c>
      <c r="DS57">
        <v>0</v>
      </c>
      <c r="DT57">
        <v>1</v>
      </c>
      <c r="DU57">
        <v>2</v>
      </c>
      <c r="DV57" t="s">
        <v>355</v>
      </c>
      <c r="DW57">
        <v>3.44787</v>
      </c>
      <c r="DX57">
        <v>2.78087</v>
      </c>
      <c r="DY57">
        <v>0.0976674</v>
      </c>
      <c r="DZ57">
        <v>0.09857340000000001</v>
      </c>
      <c r="EA57">
        <v>0.08802889999999999</v>
      </c>
      <c r="EB57">
        <v>0.0832287</v>
      </c>
      <c r="EC57">
        <v>27324.6</v>
      </c>
      <c r="ED57">
        <v>31060.7</v>
      </c>
      <c r="EE57">
        <v>29404</v>
      </c>
      <c r="EF57">
        <v>35034</v>
      </c>
      <c r="EG57">
        <v>31014.2</v>
      </c>
      <c r="EH57">
        <v>39895.5</v>
      </c>
      <c r="EI57">
        <v>36203.3</v>
      </c>
      <c r="EJ57">
        <v>46406.1</v>
      </c>
      <c r="EK57">
        <v>2.4967</v>
      </c>
      <c r="EL57">
        <v>2.29883</v>
      </c>
      <c r="EM57">
        <v>0.111688</v>
      </c>
      <c r="EN57">
        <v>0</v>
      </c>
      <c r="EO57">
        <v>21.1273</v>
      </c>
      <c r="EP57">
        <v>999.9</v>
      </c>
      <c r="EQ57">
        <v>55.8</v>
      </c>
      <c r="ER57">
        <v>25.2</v>
      </c>
      <c r="ES57">
        <v>17.6924</v>
      </c>
      <c r="ET57">
        <v>61.5164</v>
      </c>
      <c r="EU57">
        <v>26.3902</v>
      </c>
      <c r="EV57">
        <v>2</v>
      </c>
      <c r="EW57">
        <v>-0.485168</v>
      </c>
      <c r="EX57">
        <v>0</v>
      </c>
      <c r="EY57">
        <v>20.2927</v>
      </c>
      <c r="EZ57">
        <v>5.21459</v>
      </c>
      <c r="FA57">
        <v>11.968</v>
      </c>
      <c r="FB57">
        <v>4.99165</v>
      </c>
      <c r="FC57">
        <v>3.27198</v>
      </c>
      <c r="FD57">
        <v>2856.7</v>
      </c>
      <c r="FE57">
        <v>9999</v>
      </c>
      <c r="FF57">
        <v>9999</v>
      </c>
      <c r="FG57">
        <v>999.9</v>
      </c>
      <c r="FH57">
        <v>4.97255</v>
      </c>
      <c r="FI57">
        <v>1.86254</v>
      </c>
      <c r="FJ57">
        <v>1.86432</v>
      </c>
      <c r="FK57">
        <v>1.86278</v>
      </c>
      <c r="FL57">
        <v>1.86279</v>
      </c>
      <c r="FM57">
        <v>1.8634</v>
      </c>
      <c r="FN57">
        <v>1.85984</v>
      </c>
      <c r="FO57">
        <v>1.86264</v>
      </c>
      <c r="FP57">
        <v>0</v>
      </c>
      <c r="FQ57">
        <v>0</v>
      </c>
      <c r="FR57">
        <v>0</v>
      </c>
      <c r="FS57">
        <v>0</v>
      </c>
      <c r="FT57" t="s">
        <v>356</v>
      </c>
      <c r="FU57" t="s">
        <v>357</v>
      </c>
      <c r="FV57" t="s">
        <v>358</v>
      </c>
      <c r="FW57" t="s">
        <v>358</v>
      </c>
      <c r="FX57" t="s">
        <v>358</v>
      </c>
      <c r="FY57" t="s">
        <v>358</v>
      </c>
      <c r="FZ57">
        <v>0</v>
      </c>
      <c r="GA57">
        <v>100</v>
      </c>
      <c r="GB57">
        <v>100</v>
      </c>
      <c r="GC57">
        <v>2.069</v>
      </c>
      <c r="GD57">
        <v>0.1023</v>
      </c>
      <c r="GE57">
        <v>2.301624780865045</v>
      </c>
      <c r="GF57">
        <v>-0.001033730503750798</v>
      </c>
      <c r="GG57">
        <v>9.120241388950126E-07</v>
      </c>
      <c r="GH57">
        <v>-2.246115299815222E-10</v>
      </c>
      <c r="GI57">
        <v>-0.04448062196925105</v>
      </c>
      <c r="GJ57">
        <v>-0.01814858093373864</v>
      </c>
      <c r="GK57">
        <v>0.002091959988359369</v>
      </c>
      <c r="GL57">
        <v>-1.90871700788604E-05</v>
      </c>
      <c r="GM57">
        <v>2</v>
      </c>
      <c r="GN57">
        <v>2210</v>
      </c>
      <c r="GO57">
        <v>1</v>
      </c>
      <c r="GP57">
        <v>26</v>
      </c>
      <c r="GQ57">
        <v>1.8</v>
      </c>
      <c r="GR57">
        <v>1.7</v>
      </c>
      <c r="GS57">
        <v>1.26465</v>
      </c>
      <c r="GT57">
        <v>2.38525</v>
      </c>
      <c r="GU57">
        <v>2.34741</v>
      </c>
      <c r="GV57">
        <v>2.75269</v>
      </c>
      <c r="GW57">
        <v>2.39868</v>
      </c>
      <c r="GX57">
        <v>2.27783</v>
      </c>
      <c r="GY57">
        <v>29.4314</v>
      </c>
      <c r="GZ57">
        <v>13.2564</v>
      </c>
      <c r="HA57">
        <v>18</v>
      </c>
      <c r="HB57">
        <v>753.991</v>
      </c>
      <c r="HC57">
        <v>660.117</v>
      </c>
      <c r="HD57">
        <v>22.2983</v>
      </c>
      <c r="HE57">
        <v>21.0508</v>
      </c>
      <c r="HF57">
        <v>30.0001</v>
      </c>
      <c r="HG57">
        <v>20.9191</v>
      </c>
      <c r="HH57">
        <v>20.8762</v>
      </c>
      <c r="HI57">
        <v>25.3626</v>
      </c>
      <c r="HJ57">
        <v>23.4067</v>
      </c>
      <c r="HK57">
        <v>20.3818</v>
      </c>
      <c r="HL57">
        <v>-999.9</v>
      </c>
      <c r="HM57">
        <v>405</v>
      </c>
      <c r="HN57">
        <v>14.488</v>
      </c>
      <c r="HO57">
        <v>100.968</v>
      </c>
      <c r="HP57">
        <v>101.298</v>
      </c>
    </row>
    <row r="58" spans="1:224">
      <c r="A58">
        <v>42</v>
      </c>
      <c r="B58">
        <v>1750702430.6</v>
      </c>
      <c r="C58">
        <v>7567.5</v>
      </c>
      <c r="D58" t="s">
        <v>478</v>
      </c>
      <c r="E58" t="s">
        <v>479</v>
      </c>
      <c r="F58">
        <v>15</v>
      </c>
      <c r="G58">
        <v>1750702422.599999</v>
      </c>
      <c r="H58">
        <f>(I58)/1000</f>
        <v>0</v>
      </c>
      <c r="I58">
        <f>IF(BD58, AL58, AF58)</f>
        <v>0</v>
      </c>
      <c r="J58">
        <f>IF(BD58, AG58, AE58)</f>
        <v>0</v>
      </c>
      <c r="K58">
        <f>BF58 - IF(AS58&gt;1, J58*AZ58*100.0/(AU58), 0)</f>
        <v>0</v>
      </c>
      <c r="L58">
        <f>((R58-H58/2)*K58-J58)/(R58+H58/2)</f>
        <v>0</v>
      </c>
      <c r="M58">
        <f>L58*(BM58+BN58)/1000.0</f>
        <v>0</v>
      </c>
      <c r="N58">
        <f>(BF58 - IF(AS58&gt;1, J58*AZ58*100.0/(AU58), 0))*(BM58+BN58)/1000.0</f>
        <v>0</v>
      </c>
      <c r="O58">
        <f>2.0/((1/Q58-1/P58)+SIGN(Q58)*SQRT((1/Q58-1/P58)*(1/Q58-1/P58) + 4*BA58/((BA58+1)*(BA58+1))*(2*1/Q58*1/P58-1/P58*1/P58)))</f>
        <v>0</v>
      </c>
      <c r="P58">
        <f>IF(LEFT(BB58,1)&lt;&gt;"0",IF(LEFT(BB58,1)="1",3.0,BC58),$D$5+$E$5*(BT58*BM58/($K$5*1000))+$F$5*(BT58*BM58/($K$5*1000))*MAX(MIN(AZ58,$J$5),$I$5)*MAX(MIN(AZ58,$J$5),$I$5)+$G$5*MAX(MIN(AZ58,$J$5),$I$5)*(BT58*BM58/($K$5*1000))+$H$5*(BT58*BM58/($K$5*1000))*(BT58*BM58/($K$5*1000)))</f>
        <v>0</v>
      </c>
      <c r="Q58">
        <f>H58*(1000-(1000*0.61365*exp(17.502*U58/(240.97+U58))/(BM58+BN58)+BH58)/2)/(1000*0.61365*exp(17.502*U58/(240.97+U58))/(BM58+BN58)-BH58)</f>
        <v>0</v>
      </c>
      <c r="R58">
        <f>1/((BA58+1)/(O58/1.6)+1/(P58/1.37)) + BA58/((BA58+1)/(O58/1.6) + BA58/(P58/1.37))</f>
        <v>0</v>
      </c>
      <c r="S58">
        <f>(AV58*AY58)</f>
        <v>0</v>
      </c>
      <c r="T58">
        <f>(BO58+(S58+2*0.95*5.67E-8*(((BO58+$B$7)+273)^4-(BO58+273)^4)-44100*H58)/(1.84*29.3*P58+8*0.95*5.67E-8*(BO58+273)^3))</f>
        <v>0</v>
      </c>
      <c r="U58">
        <f>($C$7*BP58+$D$7*BQ58+$E$7*T58)</f>
        <v>0</v>
      </c>
      <c r="V58">
        <f>0.61365*exp(17.502*U58/(240.97+U58))</f>
        <v>0</v>
      </c>
      <c r="W58">
        <f>(X58/Y58*100)</f>
        <v>0</v>
      </c>
      <c r="X58">
        <f>BH58*(BM58+BN58)/1000</f>
        <v>0</v>
      </c>
      <c r="Y58">
        <f>0.61365*exp(17.502*BO58/(240.97+BO58))</f>
        <v>0</v>
      </c>
      <c r="Z58">
        <f>(V58-BH58*(BM58+BN58)/1000)</f>
        <v>0</v>
      </c>
      <c r="AA58">
        <f>(-H58*44100)</f>
        <v>0</v>
      </c>
      <c r="AB58">
        <f>2*29.3*P58*0.92*(BO58-U58)</f>
        <v>0</v>
      </c>
      <c r="AC58">
        <f>2*0.95*5.67E-8*(((BO58+$B$7)+273)^4-(U58+273)^4)</f>
        <v>0</v>
      </c>
      <c r="AD58">
        <f>S58+AC58+AA58+AB58</f>
        <v>0</v>
      </c>
      <c r="AE58">
        <f>BL58*AS58*(BG58-BF58*(1000-AS58*BI58)/(1000-AS58*BH58))/(100*AZ58)</f>
        <v>0</v>
      </c>
      <c r="AF58">
        <f>1000*BL58*AS58*(BH58-BI58)/(100*AZ58*(1000-AS58*BH58))</f>
        <v>0</v>
      </c>
      <c r="AG58">
        <f>(AH58 - AI58 - BM58*1E3/(8.314*(BO58+273.15)) * AK58/BL58 * AJ58) * BL58/(100*AZ58) * (1000 - BI58)/1000</f>
        <v>0</v>
      </c>
      <c r="AH58">
        <v>410.2665165775306</v>
      </c>
      <c r="AI58">
        <v>407.9173515151517</v>
      </c>
      <c r="AJ58">
        <v>1.987238355987738E-05</v>
      </c>
      <c r="AK58">
        <v>66.95470215814299</v>
      </c>
      <c r="AL58">
        <f>(AN58 - AM58 + BM58*1E3/(8.314*(BO58+273.15)) * AP58/BL58 * AO58) * BL58/(100*AZ58) * 1000/(1000 - AN58)</f>
        <v>0</v>
      </c>
      <c r="AM58">
        <v>12.89606076033087</v>
      </c>
      <c r="AN58">
        <v>15.26961939393939</v>
      </c>
      <c r="AO58">
        <v>0.001313659608121593</v>
      </c>
      <c r="AP58">
        <v>79.26937699199364</v>
      </c>
      <c r="AQ58">
        <v>12</v>
      </c>
      <c r="AR58">
        <v>1</v>
      </c>
      <c r="AS58">
        <f>IF(AQ58*$H$13&gt;=AU58,1.0,(AU58/(AU58-AQ58*$H$13)))</f>
        <v>0</v>
      </c>
      <c r="AT58">
        <f>(AS58-1)*100</f>
        <v>0</v>
      </c>
      <c r="AU58">
        <f>MAX(0,($B$13+$C$13*BT58)/(1+$D$13*BT58)*BM58/(BO58+273)*$E$13)</f>
        <v>0</v>
      </c>
      <c r="AV58">
        <f>$B$11*BU58+$C$11*BV58+$F$11*CG58*(1-CJ58)</f>
        <v>0</v>
      </c>
      <c r="AW58">
        <f>AV58*AX58</f>
        <v>0</v>
      </c>
      <c r="AX58">
        <f>($B$11*$D$9+$C$11*$D$9+$F$11*((CT58+CL58)/MAX(CT58+CL58+CU58, 0.1)*$I$9+CU58/MAX(CT58+CL58+CU58, 0.1)*$J$9))/($B$11+$C$11+$F$11)</f>
        <v>0</v>
      </c>
      <c r="AY58">
        <f>($B$11*$K$9+$C$11*$K$9+$F$11*((CT58+CL58)/MAX(CT58+CL58+CU58, 0.1)*$P$9+CU58/MAX(CT58+CL58+CU58, 0.1)*$Q$9))/($B$11+$C$11+$F$11)</f>
        <v>0</v>
      </c>
      <c r="AZ58">
        <v>6</v>
      </c>
      <c r="BA58">
        <v>0.5</v>
      </c>
      <c r="BB58" t="s">
        <v>353</v>
      </c>
      <c r="BC58">
        <v>2</v>
      </c>
      <c r="BD58" t="b">
        <v>0</v>
      </c>
      <c r="BE58">
        <v>1750702422.599999</v>
      </c>
      <c r="BF58">
        <v>401.6349677419356</v>
      </c>
      <c r="BG58">
        <v>404.9771935483872</v>
      </c>
      <c r="BH58">
        <v>15.23523870967742</v>
      </c>
      <c r="BI58">
        <v>12.83355483870968</v>
      </c>
      <c r="BJ58">
        <v>399.6089677419355</v>
      </c>
      <c r="BK58">
        <v>15.14117741935484</v>
      </c>
      <c r="BL58">
        <v>799.9787096774193</v>
      </c>
      <c r="BM58">
        <v>101.4847096774194</v>
      </c>
      <c r="BN58">
        <v>0.09996848387096777</v>
      </c>
      <c r="BO58">
        <v>23.19906451612903</v>
      </c>
      <c r="BP58">
        <v>22.89521935483871</v>
      </c>
      <c r="BQ58">
        <v>999.9000000000003</v>
      </c>
      <c r="BR58">
        <v>0</v>
      </c>
      <c r="BS58">
        <v>0</v>
      </c>
      <c r="BT58">
        <v>9998.180645161292</v>
      </c>
      <c r="BU58">
        <v>0</v>
      </c>
      <c r="BV58">
        <v>0.00152894</v>
      </c>
      <c r="BW58">
        <v>-3.29817</v>
      </c>
      <c r="BX58">
        <v>407.8933225806451</v>
      </c>
      <c r="BY58">
        <v>410.2419354838711</v>
      </c>
      <c r="BZ58">
        <v>2.401681612903226</v>
      </c>
      <c r="CA58">
        <v>404.9771935483872</v>
      </c>
      <c r="CB58">
        <v>12.83355483870968</v>
      </c>
      <c r="CC58">
        <v>1.546141290322581</v>
      </c>
      <c r="CD58">
        <v>1.302408064516129</v>
      </c>
      <c r="CE58">
        <v>13.43225483870968</v>
      </c>
      <c r="CF58">
        <v>10.82657741935484</v>
      </c>
      <c r="CG58">
        <v>1000.005903225806</v>
      </c>
      <c r="CH58">
        <v>0.9600049999999998</v>
      </c>
      <c r="CI58">
        <v>0.0399946</v>
      </c>
      <c r="CJ58">
        <v>0</v>
      </c>
      <c r="CK58">
        <v>0.9006451612903226</v>
      </c>
      <c r="CL58">
        <v>0</v>
      </c>
      <c r="CM58">
        <v>8614.563225806452</v>
      </c>
      <c r="CN58">
        <v>7946.97741935484</v>
      </c>
      <c r="CO58">
        <v>37.05222580645161</v>
      </c>
      <c r="CP58">
        <v>40.13474193548385</v>
      </c>
      <c r="CQ58">
        <v>38.41509677419354</v>
      </c>
      <c r="CR58">
        <v>39.45741935483869</v>
      </c>
      <c r="CS58">
        <v>37.11061290322579</v>
      </c>
      <c r="CT58">
        <v>960.0080645161289</v>
      </c>
      <c r="CU58">
        <v>39.99387096774194</v>
      </c>
      <c r="CV58">
        <v>0</v>
      </c>
      <c r="CW58">
        <v>1750702447.4</v>
      </c>
      <c r="CX58">
        <v>0</v>
      </c>
      <c r="CY58">
        <v>1750702451.6</v>
      </c>
      <c r="CZ58" t="s">
        <v>480</v>
      </c>
      <c r="DA58">
        <v>1750702451.6</v>
      </c>
      <c r="DB58">
        <v>1750702185.6</v>
      </c>
      <c r="DC58">
        <v>39</v>
      </c>
      <c r="DD58">
        <v>-0.043</v>
      </c>
      <c r="DE58">
        <v>-0.025</v>
      </c>
      <c r="DF58">
        <v>2.026</v>
      </c>
      <c r="DG58">
        <v>0.022</v>
      </c>
      <c r="DH58">
        <v>405</v>
      </c>
      <c r="DI58">
        <v>13</v>
      </c>
      <c r="DJ58">
        <v>0.52</v>
      </c>
      <c r="DK58">
        <v>0.03</v>
      </c>
      <c r="DL58">
        <v>-3.295273658536586</v>
      </c>
      <c r="DM58">
        <v>0.005220836236929268</v>
      </c>
      <c r="DN58">
        <v>0.0233037714686677</v>
      </c>
      <c r="DO58">
        <v>1</v>
      </c>
      <c r="DP58">
        <v>2.42192512195122</v>
      </c>
      <c r="DQ58">
        <v>-0.4130678048780435</v>
      </c>
      <c r="DR58">
        <v>0.04137957650598174</v>
      </c>
      <c r="DS58">
        <v>0</v>
      </c>
      <c r="DT58">
        <v>1</v>
      </c>
      <c r="DU58">
        <v>2</v>
      </c>
      <c r="DV58" t="s">
        <v>355</v>
      </c>
      <c r="DW58">
        <v>3.44728</v>
      </c>
      <c r="DX58">
        <v>2.78034</v>
      </c>
      <c r="DY58">
        <v>0.09762709999999999</v>
      </c>
      <c r="DZ58">
        <v>0.0985404</v>
      </c>
      <c r="EA58">
        <v>0.087089</v>
      </c>
      <c r="EB58">
        <v>0.0767451</v>
      </c>
      <c r="EC58">
        <v>27321.9</v>
      </c>
      <c r="ED58">
        <v>31057.8</v>
      </c>
      <c r="EE58">
        <v>29400</v>
      </c>
      <c r="EF58">
        <v>35029.8</v>
      </c>
      <c r="EG58">
        <v>31042.2</v>
      </c>
      <c r="EH58">
        <v>40173.8</v>
      </c>
      <c r="EI58">
        <v>36197.7</v>
      </c>
      <c r="EJ58">
        <v>46400.3</v>
      </c>
      <c r="EK58">
        <v>2.53713</v>
      </c>
      <c r="EL58">
        <v>2.2925</v>
      </c>
      <c r="EM58">
        <v>0.109717</v>
      </c>
      <c r="EN58">
        <v>0</v>
      </c>
      <c r="EO58">
        <v>21.1082</v>
      </c>
      <c r="EP58">
        <v>999.9</v>
      </c>
      <c r="EQ58">
        <v>55.8</v>
      </c>
      <c r="ER58">
        <v>25.2</v>
      </c>
      <c r="ES58">
        <v>17.693</v>
      </c>
      <c r="ET58">
        <v>61.8364</v>
      </c>
      <c r="EU58">
        <v>26.3742</v>
      </c>
      <c r="EV58">
        <v>2</v>
      </c>
      <c r="EW58">
        <v>-0.479004</v>
      </c>
      <c r="EX58">
        <v>0</v>
      </c>
      <c r="EY58">
        <v>20.2939</v>
      </c>
      <c r="EZ58">
        <v>5.2113</v>
      </c>
      <c r="FA58">
        <v>11.9682</v>
      </c>
      <c r="FB58">
        <v>4.9904</v>
      </c>
      <c r="FC58">
        <v>3.2712</v>
      </c>
      <c r="FD58">
        <v>2860.9</v>
      </c>
      <c r="FE58">
        <v>9999</v>
      </c>
      <c r="FF58">
        <v>9999</v>
      </c>
      <c r="FG58">
        <v>999.9</v>
      </c>
      <c r="FH58">
        <v>4.97261</v>
      </c>
      <c r="FI58">
        <v>1.8625</v>
      </c>
      <c r="FJ58">
        <v>1.86432</v>
      </c>
      <c r="FK58">
        <v>1.86279</v>
      </c>
      <c r="FL58">
        <v>1.86279</v>
      </c>
      <c r="FM58">
        <v>1.86339</v>
      </c>
      <c r="FN58">
        <v>1.85986</v>
      </c>
      <c r="FO58">
        <v>1.86267</v>
      </c>
      <c r="FP58">
        <v>0</v>
      </c>
      <c r="FQ58">
        <v>0</v>
      </c>
      <c r="FR58">
        <v>0</v>
      </c>
      <c r="FS58">
        <v>0</v>
      </c>
      <c r="FT58" t="s">
        <v>356</v>
      </c>
      <c r="FU58" t="s">
        <v>357</v>
      </c>
      <c r="FV58" t="s">
        <v>358</v>
      </c>
      <c r="FW58" t="s">
        <v>358</v>
      </c>
      <c r="FX58" t="s">
        <v>358</v>
      </c>
      <c r="FY58" t="s">
        <v>358</v>
      </c>
      <c r="FZ58">
        <v>0</v>
      </c>
      <c r="GA58">
        <v>100</v>
      </c>
      <c r="GB58">
        <v>100</v>
      </c>
      <c r="GC58">
        <v>2.026</v>
      </c>
      <c r="GD58">
        <v>0.09520000000000001</v>
      </c>
      <c r="GE58">
        <v>2.351717741436694</v>
      </c>
      <c r="GF58">
        <v>-0.001033730503750798</v>
      </c>
      <c r="GG58">
        <v>9.120241388950126E-07</v>
      </c>
      <c r="GH58">
        <v>-2.246115299815222E-10</v>
      </c>
      <c r="GI58">
        <v>-0.04448062196925105</v>
      </c>
      <c r="GJ58">
        <v>-0.01814858093373864</v>
      </c>
      <c r="GK58">
        <v>0.002091959988359369</v>
      </c>
      <c r="GL58">
        <v>-1.90871700788604E-05</v>
      </c>
      <c r="GM58">
        <v>2</v>
      </c>
      <c r="GN58">
        <v>2210</v>
      </c>
      <c r="GO58">
        <v>1</v>
      </c>
      <c r="GP58">
        <v>26</v>
      </c>
      <c r="GQ58">
        <v>2.1</v>
      </c>
      <c r="GR58">
        <v>4.1</v>
      </c>
      <c r="GS58">
        <v>1.26343</v>
      </c>
      <c r="GT58">
        <v>2.38647</v>
      </c>
      <c r="GU58">
        <v>2.34863</v>
      </c>
      <c r="GV58">
        <v>2.75269</v>
      </c>
      <c r="GW58">
        <v>2.39868</v>
      </c>
      <c r="GX58">
        <v>2.25952</v>
      </c>
      <c r="GY58">
        <v>29.4527</v>
      </c>
      <c r="GZ58">
        <v>13.2039</v>
      </c>
      <c r="HA58">
        <v>18</v>
      </c>
      <c r="HB58">
        <v>788.191</v>
      </c>
      <c r="HC58">
        <v>655.95</v>
      </c>
      <c r="HD58">
        <v>22.2868</v>
      </c>
      <c r="HE58">
        <v>21.1325</v>
      </c>
      <c r="HF58">
        <v>30.0002</v>
      </c>
      <c r="HG58">
        <v>20.9903</v>
      </c>
      <c r="HH58">
        <v>20.9453</v>
      </c>
      <c r="HI58">
        <v>25.3302</v>
      </c>
      <c r="HJ58">
        <v>30.3009</v>
      </c>
      <c r="HK58">
        <v>19.1993</v>
      </c>
      <c r="HL58">
        <v>-999.9</v>
      </c>
      <c r="HM58">
        <v>405</v>
      </c>
      <c r="HN58">
        <v>13.0897</v>
      </c>
      <c r="HO58">
        <v>100.953</v>
      </c>
      <c r="HP58">
        <v>101.286</v>
      </c>
    </row>
    <row r="59" spans="1:224">
      <c r="A59">
        <v>43</v>
      </c>
      <c r="B59">
        <v>1750702575.6</v>
      </c>
      <c r="C59">
        <v>7712.5</v>
      </c>
      <c r="D59" t="s">
        <v>481</v>
      </c>
      <c r="E59" t="s">
        <v>482</v>
      </c>
      <c r="F59">
        <v>15</v>
      </c>
      <c r="G59">
        <v>1750702567.599999</v>
      </c>
      <c r="H59">
        <f>(I59)/1000</f>
        <v>0</v>
      </c>
      <c r="I59">
        <f>IF(BD59, AL59, AF59)</f>
        <v>0</v>
      </c>
      <c r="J59">
        <f>IF(BD59, AG59, AE59)</f>
        <v>0</v>
      </c>
      <c r="K59">
        <f>BF59 - IF(AS59&gt;1, J59*AZ59*100.0/(AU59), 0)</f>
        <v>0</v>
      </c>
      <c r="L59">
        <f>((R59-H59/2)*K59-J59)/(R59+H59/2)</f>
        <v>0</v>
      </c>
      <c r="M59">
        <f>L59*(BM59+BN59)/1000.0</f>
        <v>0</v>
      </c>
      <c r="N59">
        <f>(BF59 - IF(AS59&gt;1, J59*AZ59*100.0/(AU59), 0))*(BM59+BN59)/1000.0</f>
        <v>0</v>
      </c>
      <c r="O59">
        <f>2.0/((1/Q59-1/P59)+SIGN(Q59)*SQRT((1/Q59-1/P59)*(1/Q59-1/P59) + 4*BA59/((BA59+1)*(BA59+1))*(2*1/Q59*1/P59-1/P59*1/P59)))</f>
        <v>0</v>
      </c>
      <c r="P59">
        <f>IF(LEFT(BB59,1)&lt;&gt;"0",IF(LEFT(BB59,1)="1",3.0,BC59),$D$5+$E$5*(BT59*BM59/($K$5*1000))+$F$5*(BT59*BM59/($K$5*1000))*MAX(MIN(AZ59,$J$5),$I$5)*MAX(MIN(AZ59,$J$5),$I$5)+$G$5*MAX(MIN(AZ59,$J$5),$I$5)*(BT59*BM59/($K$5*1000))+$H$5*(BT59*BM59/($K$5*1000))*(BT59*BM59/($K$5*1000)))</f>
        <v>0</v>
      </c>
      <c r="Q59">
        <f>H59*(1000-(1000*0.61365*exp(17.502*U59/(240.97+U59))/(BM59+BN59)+BH59)/2)/(1000*0.61365*exp(17.502*U59/(240.97+U59))/(BM59+BN59)-BH59)</f>
        <v>0</v>
      </c>
      <c r="R59">
        <f>1/((BA59+1)/(O59/1.6)+1/(P59/1.37)) + BA59/((BA59+1)/(O59/1.6) + BA59/(P59/1.37))</f>
        <v>0</v>
      </c>
      <c r="S59">
        <f>(AV59*AY59)</f>
        <v>0</v>
      </c>
      <c r="T59">
        <f>(BO59+(S59+2*0.95*5.67E-8*(((BO59+$B$7)+273)^4-(BO59+273)^4)-44100*H59)/(1.84*29.3*P59+8*0.95*5.67E-8*(BO59+273)^3))</f>
        <v>0</v>
      </c>
      <c r="U59">
        <f>($C$7*BP59+$D$7*BQ59+$E$7*T59)</f>
        <v>0</v>
      </c>
      <c r="V59">
        <f>0.61365*exp(17.502*U59/(240.97+U59))</f>
        <v>0</v>
      </c>
      <c r="W59">
        <f>(X59/Y59*100)</f>
        <v>0</v>
      </c>
      <c r="X59">
        <f>BH59*(BM59+BN59)/1000</f>
        <v>0</v>
      </c>
      <c r="Y59">
        <f>0.61365*exp(17.502*BO59/(240.97+BO59))</f>
        <v>0</v>
      </c>
      <c r="Z59">
        <f>(V59-BH59*(BM59+BN59)/1000)</f>
        <v>0</v>
      </c>
      <c r="AA59">
        <f>(-H59*44100)</f>
        <v>0</v>
      </c>
      <c r="AB59">
        <f>2*29.3*P59*0.92*(BO59-U59)</f>
        <v>0</v>
      </c>
      <c r="AC59">
        <f>2*0.95*5.67E-8*(((BO59+$B$7)+273)^4-(U59+273)^4)</f>
        <v>0</v>
      </c>
      <c r="AD59">
        <f>S59+AC59+AA59+AB59</f>
        <v>0</v>
      </c>
      <c r="AE59">
        <f>BL59*AS59*(BG59-BF59*(1000-AS59*BI59)/(1000-AS59*BH59))/(100*AZ59)</f>
        <v>0</v>
      </c>
      <c r="AF59">
        <f>1000*BL59*AS59*(BH59-BI59)/(100*AZ59*(1000-AS59*BH59))</f>
        <v>0</v>
      </c>
      <c r="AG59">
        <f>(AH59 - AI59 - BM59*1E3/(8.314*(BO59+273.15)) * AK59/BL59 * AJ59) * BL59/(100*AZ59) * (1000 - BI59)/1000</f>
        <v>0</v>
      </c>
      <c r="AH59">
        <v>408.7685658785974</v>
      </c>
      <c r="AI59">
        <v>400.7543818181815</v>
      </c>
      <c r="AJ59">
        <v>-0.0144482185779371</v>
      </c>
      <c r="AK59">
        <v>66.95560146974286</v>
      </c>
      <c r="AL59">
        <f>(AN59 - AM59 + BM59*1E3/(8.314*(BO59+273.15)) * AP59/BL59 * AO59) * BL59/(100*AZ59) * 1000/(1000 - AN59)</f>
        <v>0</v>
      </c>
      <c r="AM59">
        <v>9.310700356616403</v>
      </c>
      <c r="AN59">
        <v>15.32783696969697</v>
      </c>
      <c r="AO59">
        <v>0.002393123883796898</v>
      </c>
      <c r="AP59">
        <v>79.24847081499585</v>
      </c>
      <c r="AQ59">
        <v>426</v>
      </c>
      <c r="AR59">
        <v>53</v>
      </c>
      <c r="AS59">
        <f>IF(AQ59*$H$13&gt;=AU59,1.0,(AU59/(AU59-AQ59*$H$13)))</f>
        <v>0</v>
      </c>
      <c r="AT59">
        <f>(AS59-1)*100</f>
        <v>0</v>
      </c>
      <c r="AU59">
        <f>MAX(0,($B$13+$C$13*BT59)/(1+$D$13*BT59)*BM59/(BO59+273)*$E$13)</f>
        <v>0</v>
      </c>
      <c r="AV59">
        <f>$B$11*BU59+$C$11*BV59+$F$11*CG59*(1-CJ59)</f>
        <v>0</v>
      </c>
      <c r="AW59">
        <f>AV59*AX59</f>
        <v>0</v>
      </c>
      <c r="AX59">
        <f>($B$11*$D$9+$C$11*$D$9+$F$11*((CT59+CL59)/MAX(CT59+CL59+CU59, 0.1)*$I$9+CU59/MAX(CT59+CL59+CU59, 0.1)*$J$9))/($B$11+$C$11+$F$11)</f>
        <v>0</v>
      </c>
      <c r="AY59">
        <f>($B$11*$K$9+$C$11*$K$9+$F$11*((CT59+CL59)/MAX(CT59+CL59+CU59, 0.1)*$P$9+CU59/MAX(CT59+CL59+CU59, 0.1)*$Q$9))/($B$11+$C$11+$F$11)</f>
        <v>0</v>
      </c>
      <c r="AZ59">
        <v>6</v>
      </c>
      <c r="BA59">
        <v>0.5</v>
      </c>
      <c r="BB59" t="s">
        <v>353</v>
      </c>
      <c r="BC59">
        <v>2</v>
      </c>
      <c r="BD59" t="b">
        <v>0</v>
      </c>
      <c r="BE59">
        <v>1750702567.599999</v>
      </c>
      <c r="BF59">
        <v>394.6875483870969</v>
      </c>
      <c r="BG59">
        <v>404.9868064516127</v>
      </c>
      <c r="BH59">
        <v>15.28455161290323</v>
      </c>
      <c r="BI59">
        <v>9.246697096774195</v>
      </c>
      <c r="BJ59">
        <v>392.657322580645</v>
      </c>
      <c r="BK59">
        <v>15.18895161290323</v>
      </c>
      <c r="BL59">
        <v>800.0192903225806</v>
      </c>
      <c r="BM59">
        <v>101.4834193548387</v>
      </c>
      <c r="BN59">
        <v>0.1000662387096774</v>
      </c>
      <c r="BO59">
        <v>23.17697419354839</v>
      </c>
      <c r="BP59">
        <v>21.75184838709677</v>
      </c>
      <c r="BQ59">
        <v>999.9000000000003</v>
      </c>
      <c r="BR59">
        <v>0</v>
      </c>
      <c r="BS59">
        <v>0</v>
      </c>
      <c r="BT59">
        <v>10008.24580645161</v>
      </c>
      <c r="BU59">
        <v>0</v>
      </c>
      <c r="BV59">
        <v>0.00152894</v>
      </c>
      <c r="BW59">
        <v>-10.29923870967742</v>
      </c>
      <c r="BX59">
        <v>400.8138064516129</v>
      </c>
      <c r="BY59">
        <v>408.7665161290322</v>
      </c>
      <c r="BZ59">
        <v>6.037854516129034</v>
      </c>
      <c r="CA59">
        <v>404.9868064516127</v>
      </c>
      <c r="CB59">
        <v>9.246697096774195</v>
      </c>
      <c r="CC59">
        <v>1.551127096774194</v>
      </c>
      <c r="CD59">
        <v>0.9383852580645162</v>
      </c>
      <c r="CE59">
        <v>13.48164193548387</v>
      </c>
      <c r="CF59">
        <v>5.993056451612905</v>
      </c>
      <c r="CG59">
        <v>1000.013838709677</v>
      </c>
      <c r="CH59">
        <v>0.9599863225806454</v>
      </c>
      <c r="CI59">
        <v>0.04001382258064515</v>
      </c>
      <c r="CJ59">
        <v>0</v>
      </c>
      <c r="CK59">
        <v>1.724193548387097</v>
      </c>
      <c r="CL59">
        <v>0</v>
      </c>
      <c r="CM59">
        <v>9583.31741935484</v>
      </c>
      <c r="CN59">
        <v>7946.977096774194</v>
      </c>
      <c r="CO59">
        <v>38.21748387096774</v>
      </c>
      <c r="CP59">
        <v>41.29809677419353</v>
      </c>
      <c r="CQ59">
        <v>39.53609677419354</v>
      </c>
      <c r="CR59">
        <v>41.26990322580643</v>
      </c>
      <c r="CS59">
        <v>38.23161290322579</v>
      </c>
      <c r="CT59">
        <v>959.999677419355</v>
      </c>
      <c r="CU59">
        <v>40.0141935483871</v>
      </c>
      <c r="CV59">
        <v>0</v>
      </c>
      <c r="CW59">
        <v>1750702592.6</v>
      </c>
      <c r="CX59">
        <v>0</v>
      </c>
      <c r="CY59">
        <v>1750702451.6</v>
      </c>
      <c r="CZ59" t="s">
        <v>480</v>
      </c>
      <c r="DA59">
        <v>1750702451.6</v>
      </c>
      <c r="DB59">
        <v>1750702185.6</v>
      </c>
      <c r="DC59">
        <v>39</v>
      </c>
      <c r="DD59">
        <v>-0.043</v>
      </c>
      <c r="DE59">
        <v>-0.025</v>
      </c>
      <c r="DF59">
        <v>2.026</v>
      </c>
      <c r="DG59">
        <v>0.022</v>
      </c>
      <c r="DH59">
        <v>405</v>
      </c>
      <c r="DI59">
        <v>13</v>
      </c>
      <c r="DJ59">
        <v>0.52</v>
      </c>
      <c r="DK59">
        <v>0.03</v>
      </c>
      <c r="DL59">
        <v>-10.27811</v>
      </c>
      <c r="DM59">
        <v>-0.3471106941838281</v>
      </c>
      <c r="DN59">
        <v>0.04950154947069831</v>
      </c>
      <c r="DO59">
        <v>0</v>
      </c>
      <c r="DP59">
        <v>6.08128575</v>
      </c>
      <c r="DQ59">
        <v>-0.6816061913696072</v>
      </c>
      <c r="DR59">
        <v>0.07220703701466709</v>
      </c>
      <c r="DS59">
        <v>0</v>
      </c>
      <c r="DT59">
        <v>0</v>
      </c>
      <c r="DU59">
        <v>2</v>
      </c>
      <c r="DV59" t="s">
        <v>372</v>
      </c>
      <c r="DW59">
        <v>3.4453</v>
      </c>
      <c r="DX59">
        <v>2.78077</v>
      </c>
      <c r="DY59">
        <v>0.0962881</v>
      </c>
      <c r="DZ59">
        <v>0.0984944</v>
      </c>
      <c r="EA59">
        <v>0.0873135</v>
      </c>
      <c r="EB59">
        <v>0.0599766</v>
      </c>
      <c r="EC59">
        <v>27359.6</v>
      </c>
      <c r="ED59">
        <v>31058.6</v>
      </c>
      <c r="EE59">
        <v>29397.3</v>
      </c>
      <c r="EF59">
        <v>35029.5</v>
      </c>
      <c r="EG59">
        <v>31032.1</v>
      </c>
      <c r="EH59">
        <v>40906.7</v>
      </c>
      <c r="EI59">
        <v>36195</v>
      </c>
      <c r="EJ59">
        <v>46400.1</v>
      </c>
      <c r="EK59">
        <v>1.7653</v>
      </c>
      <c r="EL59">
        <v>2.28258</v>
      </c>
      <c r="EM59">
        <v>0.0339262</v>
      </c>
      <c r="EN59">
        <v>0</v>
      </c>
      <c r="EO59">
        <v>21.2069</v>
      </c>
      <c r="EP59">
        <v>999.9</v>
      </c>
      <c r="EQ59">
        <v>55.6</v>
      </c>
      <c r="ER59">
        <v>25.3</v>
      </c>
      <c r="ES59">
        <v>17.7352</v>
      </c>
      <c r="ET59">
        <v>61.3164</v>
      </c>
      <c r="EU59">
        <v>26.6867</v>
      </c>
      <c r="EV59">
        <v>2</v>
      </c>
      <c r="EW59">
        <v>-0.475109</v>
      </c>
      <c r="EX59">
        <v>0</v>
      </c>
      <c r="EY59">
        <v>20.2946</v>
      </c>
      <c r="EZ59">
        <v>5.21639</v>
      </c>
      <c r="FA59">
        <v>11.968</v>
      </c>
      <c r="FB59">
        <v>4.9918</v>
      </c>
      <c r="FC59">
        <v>3.27198</v>
      </c>
      <c r="FD59">
        <v>2865.5</v>
      </c>
      <c r="FE59">
        <v>9999</v>
      </c>
      <c r="FF59">
        <v>9999</v>
      </c>
      <c r="FG59">
        <v>999.9</v>
      </c>
      <c r="FH59">
        <v>4.97258</v>
      </c>
      <c r="FI59">
        <v>1.86255</v>
      </c>
      <c r="FJ59">
        <v>1.86432</v>
      </c>
      <c r="FK59">
        <v>1.86277</v>
      </c>
      <c r="FL59">
        <v>1.86279</v>
      </c>
      <c r="FM59">
        <v>1.8634</v>
      </c>
      <c r="FN59">
        <v>1.85986</v>
      </c>
      <c r="FO59">
        <v>1.86264</v>
      </c>
      <c r="FP59">
        <v>0</v>
      </c>
      <c r="FQ59">
        <v>0</v>
      </c>
      <c r="FR59">
        <v>0</v>
      </c>
      <c r="FS59">
        <v>0</v>
      </c>
      <c r="FT59" t="s">
        <v>356</v>
      </c>
      <c r="FU59" t="s">
        <v>357</v>
      </c>
      <c r="FV59" t="s">
        <v>358</v>
      </c>
      <c r="FW59" t="s">
        <v>358</v>
      </c>
      <c r="FX59" t="s">
        <v>358</v>
      </c>
      <c r="FY59" t="s">
        <v>358</v>
      </c>
      <c r="FZ59">
        <v>0</v>
      </c>
      <c r="GA59">
        <v>100</v>
      </c>
      <c r="GB59">
        <v>100</v>
      </c>
      <c r="GC59">
        <v>2.03</v>
      </c>
      <c r="GD59">
        <v>0.09710000000000001</v>
      </c>
      <c r="GE59">
        <v>2.309083166468946</v>
      </c>
      <c r="GF59">
        <v>-0.001033730503750798</v>
      </c>
      <c r="GG59">
        <v>9.120241388950126E-07</v>
      </c>
      <c r="GH59">
        <v>-2.246115299815222E-10</v>
      </c>
      <c r="GI59">
        <v>-0.04448062196925105</v>
      </c>
      <c r="GJ59">
        <v>-0.01814858093373864</v>
      </c>
      <c r="GK59">
        <v>0.002091959988359369</v>
      </c>
      <c r="GL59">
        <v>-1.90871700788604E-05</v>
      </c>
      <c r="GM59">
        <v>2</v>
      </c>
      <c r="GN59">
        <v>2210</v>
      </c>
      <c r="GO59">
        <v>1</v>
      </c>
      <c r="GP59">
        <v>26</v>
      </c>
      <c r="GQ59">
        <v>2.1</v>
      </c>
      <c r="GR59">
        <v>6.5</v>
      </c>
      <c r="GS59">
        <v>1.25977</v>
      </c>
      <c r="GT59">
        <v>2.38281</v>
      </c>
      <c r="GU59">
        <v>2.34863</v>
      </c>
      <c r="GV59">
        <v>2.75024</v>
      </c>
      <c r="GW59">
        <v>2.39868</v>
      </c>
      <c r="GX59">
        <v>2.27295</v>
      </c>
      <c r="GY59">
        <v>29.4739</v>
      </c>
      <c r="GZ59">
        <v>13.1426</v>
      </c>
      <c r="HA59">
        <v>18</v>
      </c>
      <c r="HB59">
        <v>326.449</v>
      </c>
      <c r="HC59">
        <v>648.746</v>
      </c>
      <c r="HD59">
        <v>22.3306</v>
      </c>
      <c r="HE59">
        <v>21.1997</v>
      </c>
      <c r="HF59">
        <v>30.0002</v>
      </c>
      <c r="HG59">
        <v>21.0684</v>
      </c>
      <c r="HH59">
        <v>21</v>
      </c>
      <c r="HI59">
        <v>25.2545</v>
      </c>
      <c r="HJ59">
        <v>46.2438</v>
      </c>
      <c r="HK59">
        <v>15.2092</v>
      </c>
      <c r="HL59">
        <v>-999.9</v>
      </c>
      <c r="HM59">
        <v>405</v>
      </c>
      <c r="HN59">
        <v>9.38701</v>
      </c>
      <c r="HO59">
        <v>100.944</v>
      </c>
      <c r="HP59">
        <v>101.285</v>
      </c>
    </row>
    <row r="60" spans="1:224">
      <c r="A60">
        <v>44</v>
      </c>
      <c r="B60">
        <v>1750702796.1</v>
      </c>
      <c r="C60">
        <v>7933</v>
      </c>
      <c r="D60" t="s">
        <v>483</v>
      </c>
      <c r="E60" t="s">
        <v>484</v>
      </c>
      <c r="F60">
        <v>15</v>
      </c>
      <c r="G60">
        <v>1750702788.349999</v>
      </c>
      <c r="H60">
        <f>(I60)/1000</f>
        <v>0</v>
      </c>
      <c r="I60">
        <f>IF(BD60, AL60, AF60)</f>
        <v>0</v>
      </c>
      <c r="J60">
        <f>IF(BD60, AG60, AE60)</f>
        <v>0</v>
      </c>
      <c r="K60">
        <f>BF60 - IF(AS60&gt;1, J60*AZ60*100.0/(AU60), 0)</f>
        <v>0</v>
      </c>
      <c r="L60">
        <f>((R60-H60/2)*K60-J60)/(R60+H60/2)</f>
        <v>0</v>
      </c>
      <c r="M60">
        <f>L60*(BM60+BN60)/1000.0</f>
        <v>0</v>
      </c>
      <c r="N60">
        <f>(BF60 - IF(AS60&gt;1, J60*AZ60*100.0/(AU60), 0))*(BM60+BN60)/1000.0</f>
        <v>0</v>
      </c>
      <c r="O60">
        <f>2.0/((1/Q60-1/P60)+SIGN(Q60)*SQRT((1/Q60-1/P60)*(1/Q60-1/P60) + 4*BA60/((BA60+1)*(BA60+1))*(2*1/Q60*1/P60-1/P60*1/P60)))</f>
        <v>0</v>
      </c>
      <c r="P60">
        <f>IF(LEFT(BB60,1)&lt;&gt;"0",IF(LEFT(BB60,1)="1",3.0,BC60),$D$5+$E$5*(BT60*BM60/($K$5*1000))+$F$5*(BT60*BM60/($K$5*1000))*MAX(MIN(AZ60,$J$5),$I$5)*MAX(MIN(AZ60,$J$5),$I$5)+$G$5*MAX(MIN(AZ60,$J$5),$I$5)*(BT60*BM60/($K$5*1000))+$H$5*(BT60*BM60/($K$5*1000))*(BT60*BM60/($K$5*1000)))</f>
        <v>0</v>
      </c>
      <c r="Q60">
        <f>H60*(1000-(1000*0.61365*exp(17.502*U60/(240.97+U60))/(BM60+BN60)+BH60)/2)/(1000*0.61365*exp(17.502*U60/(240.97+U60))/(BM60+BN60)-BH60)</f>
        <v>0</v>
      </c>
      <c r="R60">
        <f>1/((BA60+1)/(O60/1.6)+1/(P60/1.37)) + BA60/((BA60+1)/(O60/1.6) + BA60/(P60/1.37))</f>
        <v>0</v>
      </c>
      <c r="S60">
        <f>(AV60*AY60)</f>
        <v>0</v>
      </c>
      <c r="T60">
        <f>(BO60+(S60+2*0.95*5.67E-8*(((BO60+$B$7)+273)^4-(BO60+273)^4)-44100*H60)/(1.84*29.3*P60+8*0.95*5.67E-8*(BO60+273)^3))</f>
        <v>0</v>
      </c>
      <c r="U60">
        <f>($C$7*BP60+$D$7*BQ60+$E$7*T60)</f>
        <v>0</v>
      </c>
      <c r="V60">
        <f>0.61365*exp(17.502*U60/(240.97+U60))</f>
        <v>0</v>
      </c>
      <c r="W60">
        <f>(X60/Y60*100)</f>
        <v>0</v>
      </c>
      <c r="X60">
        <f>BH60*(BM60+BN60)/1000</f>
        <v>0</v>
      </c>
      <c r="Y60">
        <f>0.61365*exp(17.502*BO60/(240.97+BO60))</f>
        <v>0</v>
      </c>
      <c r="Z60">
        <f>(V60-BH60*(BM60+BN60)/1000)</f>
        <v>0</v>
      </c>
      <c r="AA60">
        <f>(-H60*44100)</f>
        <v>0</v>
      </c>
      <c r="AB60">
        <f>2*29.3*P60*0.92*(BO60-U60)</f>
        <v>0</v>
      </c>
      <c r="AC60">
        <f>2*0.95*5.67E-8*(((BO60+$B$7)+273)^4-(U60+273)^4)</f>
        <v>0</v>
      </c>
      <c r="AD60">
        <f>S60+AC60+AA60+AB60</f>
        <v>0</v>
      </c>
      <c r="AE60">
        <f>BL60*AS60*(BG60-BF60*(1000-AS60*BI60)/(1000-AS60*BH60))/(100*AZ60)</f>
        <v>0</v>
      </c>
      <c r="AF60">
        <f>1000*BL60*AS60*(BH60-BI60)/(100*AZ60*(1000-AS60*BH60))</f>
        <v>0</v>
      </c>
      <c r="AG60">
        <f>(AH60 - AI60 - BM60*1E3/(8.314*(BO60+273.15)) * AK60/BL60 * AJ60) * BL60/(100*AZ60) * (1000 - BI60)/1000</f>
        <v>0</v>
      </c>
      <c r="AH60">
        <v>410.6613370199066</v>
      </c>
      <c r="AI60">
        <v>407.0646848484848</v>
      </c>
      <c r="AJ60">
        <v>0.003783142653324517</v>
      </c>
      <c r="AK60">
        <v>66.9562175224151</v>
      </c>
      <c r="AL60">
        <f>(AN60 - AM60 + BM60*1E3/(8.314*(BO60+273.15)) * AP60/BL60 * AO60) * BL60/(100*AZ60) * 1000/(1000 - AN60)</f>
        <v>0</v>
      </c>
      <c r="AM60">
        <v>13.96752089713608</v>
      </c>
      <c r="AN60">
        <v>15.30635575757575</v>
      </c>
      <c r="AO60">
        <v>0.02331972881022724</v>
      </c>
      <c r="AP60">
        <v>79.24128307582461</v>
      </c>
      <c r="AQ60">
        <v>91</v>
      </c>
      <c r="AR60">
        <v>11</v>
      </c>
      <c r="AS60">
        <f>IF(AQ60*$H$13&gt;=AU60,1.0,(AU60/(AU60-AQ60*$H$13)))</f>
        <v>0</v>
      </c>
      <c r="AT60">
        <f>(AS60-1)*100</f>
        <v>0</v>
      </c>
      <c r="AU60">
        <f>MAX(0,($B$13+$C$13*BT60)/(1+$D$13*BT60)*BM60/(BO60+273)*$E$13)</f>
        <v>0</v>
      </c>
      <c r="AV60">
        <f>$B$11*BU60+$C$11*BV60+$F$11*CG60*(1-CJ60)</f>
        <v>0</v>
      </c>
      <c r="AW60">
        <f>AV60*AX60</f>
        <v>0</v>
      </c>
      <c r="AX60">
        <f>($B$11*$D$9+$C$11*$D$9+$F$11*((CT60+CL60)/MAX(CT60+CL60+CU60, 0.1)*$I$9+CU60/MAX(CT60+CL60+CU60, 0.1)*$J$9))/($B$11+$C$11+$F$11)</f>
        <v>0</v>
      </c>
      <c r="AY60">
        <f>($B$11*$K$9+$C$11*$K$9+$F$11*((CT60+CL60)/MAX(CT60+CL60+CU60, 0.1)*$P$9+CU60/MAX(CT60+CL60+CU60, 0.1)*$Q$9))/($B$11+$C$11+$F$11)</f>
        <v>0</v>
      </c>
      <c r="AZ60">
        <v>6</v>
      </c>
      <c r="BA60">
        <v>0.5</v>
      </c>
      <c r="BB60" t="s">
        <v>353</v>
      </c>
      <c r="BC60">
        <v>2</v>
      </c>
      <c r="BD60" t="b">
        <v>0</v>
      </c>
      <c r="BE60">
        <v>1750702788.349999</v>
      </c>
      <c r="BF60">
        <v>400.8117999999999</v>
      </c>
      <c r="BG60">
        <v>404.8713666666666</v>
      </c>
      <c r="BH60">
        <v>15.09254666666667</v>
      </c>
      <c r="BI60">
        <v>13.82852333333333</v>
      </c>
      <c r="BJ60">
        <v>398.7517999999999</v>
      </c>
      <c r="BK60">
        <v>15.00954666666667</v>
      </c>
      <c r="BL60">
        <v>800.0355</v>
      </c>
      <c r="BM60">
        <v>101.4772666666667</v>
      </c>
      <c r="BN60">
        <v>0.09999637333333332</v>
      </c>
      <c r="BO60">
        <v>23.30622666666666</v>
      </c>
      <c r="BP60">
        <v>20.325</v>
      </c>
      <c r="BQ60">
        <v>999.9000000000002</v>
      </c>
      <c r="BR60">
        <v>0</v>
      </c>
      <c r="BS60">
        <v>0</v>
      </c>
      <c r="BT60">
        <v>10008.122</v>
      </c>
      <c r="BU60">
        <v>0</v>
      </c>
      <c r="BV60">
        <v>0.00152894</v>
      </c>
      <c r="BW60">
        <v>-4.091931</v>
      </c>
      <c r="BX60">
        <v>406.9237666666667</v>
      </c>
      <c r="BY60">
        <v>410.5486666666667</v>
      </c>
      <c r="BZ60">
        <v>1.270924</v>
      </c>
      <c r="CA60">
        <v>404.8713666666666</v>
      </c>
      <c r="CB60">
        <v>13.82852333333333</v>
      </c>
      <c r="CC60">
        <v>1.53225</v>
      </c>
      <c r="CD60">
        <v>1.403281</v>
      </c>
      <c r="CE60">
        <v>13.29310666666667</v>
      </c>
      <c r="CF60">
        <v>11.95253666666667</v>
      </c>
      <c r="CG60">
        <v>999.9681999999999</v>
      </c>
      <c r="CH60">
        <v>0.9600158999999998</v>
      </c>
      <c r="CI60">
        <v>0.03998434000000001</v>
      </c>
      <c r="CJ60">
        <v>0</v>
      </c>
      <c r="CK60">
        <v>2.584833333333333</v>
      </c>
      <c r="CL60">
        <v>0</v>
      </c>
      <c r="CM60">
        <v>5471.873666666666</v>
      </c>
      <c r="CN60">
        <v>7946.714000000002</v>
      </c>
      <c r="CO60">
        <v>36.10806666666666</v>
      </c>
      <c r="CP60">
        <v>38.52059999999999</v>
      </c>
      <c r="CQ60">
        <v>37.47893333333332</v>
      </c>
      <c r="CR60">
        <v>37.53726666666666</v>
      </c>
      <c r="CS60">
        <v>36.28726666666667</v>
      </c>
      <c r="CT60">
        <v>959.9856666666668</v>
      </c>
      <c r="CU60">
        <v>39.98333333333333</v>
      </c>
      <c r="CV60">
        <v>0</v>
      </c>
      <c r="CW60">
        <v>1750702812.8</v>
      </c>
      <c r="CX60">
        <v>0</v>
      </c>
      <c r="CY60">
        <v>1750702820.1</v>
      </c>
      <c r="CZ60" t="s">
        <v>485</v>
      </c>
      <c r="DA60">
        <v>1750702820.1</v>
      </c>
      <c r="DB60">
        <v>1750702814.1</v>
      </c>
      <c r="DC60">
        <v>40</v>
      </c>
      <c r="DD60">
        <v>0.034</v>
      </c>
      <c r="DE60">
        <v>0.024</v>
      </c>
      <c r="DF60">
        <v>2.06</v>
      </c>
      <c r="DG60">
        <v>0.083</v>
      </c>
      <c r="DH60">
        <v>405</v>
      </c>
      <c r="DI60">
        <v>14</v>
      </c>
      <c r="DJ60">
        <v>0.11</v>
      </c>
      <c r="DK60">
        <v>0.06</v>
      </c>
      <c r="DL60">
        <v>-4.079759756097562</v>
      </c>
      <c r="DM60">
        <v>-0.2751637630662112</v>
      </c>
      <c r="DN60">
        <v>0.05697159923552005</v>
      </c>
      <c r="DO60">
        <v>0</v>
      </c>
      <c r="DP60">
        <v>1.298916585365854</v>
      </c>
      <c r="DQ60">
        <v>-0.2779584668989545</v>
      </c>
      <c r="DR60">
        <v>0.06938518586563393</v>
      </c>
      <c r="DS60">
        <v>0</v>
      </c>
      <c r="DT60">
        <v>0</v>
      </c>
      <c r="DU60">
        <v>2</v>
      </c>
      <c r="DV60" t="s">
        <v>372</v>
      </c>
      <c r="DW60">
        <v>3.4477</v>
      </c>
      <c r="DX60">
        <v>2.7806</v>
      </c>
      <c r="DY60">
        <v>0.09743789999999999</v>
      </c>
      <c r="DZ60">
        <v>0.0985101</v>
      </c>
      <c r="EA60">
        <v>0.0872305</v>
      </c>
      <c r="EB60">
        <v>0.0814286</v>
      </c>
      <c r="EC60">
        <v>27323.2</v>
      </c>
      <c r="ED60">
        <v>31055.2</v>
      </c>
      <c r="EE60">
        <v>29395.6</v>
      </c>
      <c r="EF60">
        <v>35026.3</v>
      </c>
      <c r="EG60">
        <v>31033.1</v>
      </c>
      <c r="EH60">
        <v>39965.1</v>
      </c>
      <c r="EI60">
        <v>36192.7</v>
      </c>
      <c r="EJ60">
        <v>46395.3</v>
      </c>
      <c r="EK60">
        <v>2.41507</v>
      </c>
      <c r="EL60">
        <v>2.29287</v>
      </c>
      <c r="EM60">
        <v>-0.0592321</v>
      </c>
      <c r="EN60">
        <v>0</v>
      </c>
      <c r="EO60">
        <v>21.386</v>
      </c>
      <c r="EP60">
        <v>999.9</v>
      </c>
      <c r="EQ60">
        <v>55.4</v>
      </c>
      <c r="ER60">
        <v>25.3</v>
      </c>
      <c r="ES60">
        <v>17.6716</v>
      </c>
      <c r="ET60">
        <v>61.5364</v>
      </c>
      <c r="EU60">
        <v>26.2981</v>
      </c>
      <c r="EV60">
        <v>2</v>
      </c>
      <c r="EW60">
        <v>-0.471819</v>
      </c>
      <c r="EX60">
        <v>0</v>
      </c>
      <c r="EY60">
        <v>20.2944</v>
      </c>
      <c r="EZ60">
        <v>5.21654</v>
      </c>
      <c r="FA60">
        <v>11.968</v>
      </c>
      <c r="FB60">
        <v>4.9917</v>
      </c>
      <c r="FC60">
        <v>3.27192</v>
      </c>
      <c r="FD60">
        <v>2872.1</v>
      </c>
      <c r="FE60">
        <v>9999</v>
      </c>
      <c r="FF60">
        <v>9999</v>
      </c>
      <c r="FG60">
        <v>999.9</v>
      </c>
      <c r="FH60">
        <v>4.97258</v>
      </c>
      <c r="FI60">
        <v>1.86261</v>
      </c>
      <c r="FJ60">
        <v>1.86434</v>
      </c>
      <c r="FK60">
        <v>1.86279</v>
      </c>
      <c r="FL60">
        <v>1.86279</v>
      </c>
      <c r="FM60">
        <v>1.8634</v>
      </c>
      <c r="FN60">
        <v>1.85989</v>
      </c>
      <c r="FO60">
        <v>1.86264</v>
      </c>
      <c r="FP60">
        <v>0</v>
      </c>
      <c r="FQ60">
        <v>0</v>
      </c>
      <c r="FR60">
        <v>0</v>
      </c>
      <c r="FS60">
        <v>0</v>
      </c>
      <c r="FT60" t="s">
        <v>356</v>
      </c>
      <c r="FU60" t="s">
        <v>357</v>
      </c>
      <c r="FV60" t="s">
        <v>358</v>
      </c>
      <c r="FW60" t="s">
        <v>358</v>
      </c>
      <c r="FX60" t="s">
        <v>358</v>
      </c>
      <c r="FY60" t="s">
        <v>358</v>
      </c>
      <c r="FZ60">
        <v>0</v>
      </c>
      <c r="GA60">
        <v>100</v>
      </c>
      <c r="GB60">
        <v>100</v>
      </c>
      <c r="GC60">
        <v>2.06</v>
      </c>
      <c r="GD60">
        <v>0.083</v>
      </c>
      <c r="GE60">
        <v>2.309083166468946</v>
      </c>
      <c r="GF60">
        <v>-0.001033730503750798</v>
      </c>
      <c r="GG60">
        <v>9.120241388950126E-07</v>
      </c>
      <c r="GH60">
        <v>-2.246115299815222E-10</v>
      </c>
      <c r="GI60">
        <v>-0.04448062196925105</v>
      </c>
      <c r="GJ60">
        <v>-0.01814858093373864</v>
      </c>
      <c r="GK60">
        <v>0.002091959988359369</v>
      </c>
      <c r="GL60">
        <v>-1.90871700788604E-05</v>
      </c>
      <c r="GM60">
        <v>2</v>
      </c>
      <c r="GN60">
        <v>2210</v>
      </c>
      <c r="GO60">
        <v>1</v>
      </c>
      <c r="GP60">
        <v>26</v>
      </c>
      <c r="GQ60">
        <v>5.7</v>
      </c>
      <c r="GR60">
        <v>10.2</v>
      </c>
      <c r="GS60">
        <v>1.26343</v>
      </c>
      <c r="GT60">
        <v>2.38159</v>
      </c>
      <c r="GU60">
        <v>2.34741</v>
      </c>
      <c r="GV60">
        <v>2.75269</v>
      </c>
      <c r="GW60">
        <v>2.39868</v>
      </c>
      <c r="GX60">
        <v>2.25952</v>
      </c>
      <c r="GY60">
        <v>29.623</v>
      </c>
      <c r="GZ60">
        <v>13.0463</v>
      </c>
      <c r="HA60">
        <v>18</v>
      </c>
      <c r="HB60">
        <v>693.259</v>
      </c>
      <c r="HC60">
        <v>657.878</v>
      </c>
      <c r="HD60">
        <v>22.3981</v>
      </c>
      <c r="HE60">
        <v>21.2549</v>
      </c>
      <c r="HF60">
        <v>30.0001</v>
      </c>
      <c r="HG60">
        <v>21.116</v>
      </c>
      <c r="HH60">
        <v>21.0682</v>
      </c>
      <c r="HI60">
        <v>25.3396</v>
      </c>
      <c r="HJ60">
        <v>25.0475</v>
      </c>
      <c r="HK60">
        <v>13.8893</v>
      </c>
      <c r="HL60">
        <v>-999.9</v>
      </c>
      <c r="HM60">
        <v>405</v>
      </c>
      <c r="HN60">
        <v>14.1233</v>
      </c>
      <c r="HO60">
        <v>100.938</v>
      </c>
      <c r="HP60">
        <v>101.275</v>
      </c>
    </row>
    <row r="61" spans="1:224">
      <c r="A61">
        <v>45</v>
      </c>
      <c r="B61">
        <v>1750702986.6</v>
      </c>
      <c r="C61">
        <v>8123.5</v>
      </c>
      <c r="D61" t="s">
        <v>486</v>
      </c>
      <c r="E61" t="s">
        <v>487</v>
      </c>
      <c r="F61">
        <v>15</v>
      </c>
      <c r="G61">
        <v>1750702978.849999</v>
      </c>
      <c r="H61">
        <f>(I61)/1000</f>
        <v>0</v>
      </c>
      <c r="I61">
        <f>IF(BD61, AL61, AF61)</f>
        <v>0</v>
      </c>
      <c r="J61">
        <f>IF(BD61, AG61, AE61)</f>
        <v>0</v>
      </c>
      <c r="K61">
        <f>BF61 - IF(AS61&gt;1, J61*AZ61*100.0/(AU61), 0)</f>
        <v>0</v>
      </c>
      <c r="L61">
        <f>((R61-H61/2)*K61-J61)/(R61+H61/2)</f>
        <v>0</v>
      </c>
      <c r="M61">
        <f>L61*(BM61+BN61)/1000.0</f>
        <v>0</v>
      </c>
      <c r="N61">
        <f>(BF61 - IF(AS61&gt;1, J61*AZ61*100.0/(AU61), 0))*(BM61+BN61)/1000.0</f>
        <v>0</v>
      </c>
      <c r="O61">
        <f>2.0/((1/Q61-1/P61)+SIGN(Q61)*SQRT((1/Q61-1/P61)*(1/Q61-1/P61) + 4*BA61/((BA61+1)*(BA61+1))*(2*1/Q61*1/P61-1/P61*1/P61)))</f>
        <v>0</v>
      </c>
      <c r="P61">
        <f>IF(LEFT(BB61,1)&lt;&gt;"0",IF(LEFT(BB61,1)="1",3.0,BC61),$D$5+$E$5*(BT61*BM61/($K$5*1000))+$F$5*(BT61*BM61/($K$5*1000))*MAX(MIN(AZ61,$J$5),$I$5)*MAX(MIN(AZ61,$J$5),$I$5)+$G$5*MAX(MIN(AZ61,$J$5),$I$5)*(BT61*BM61/($K$5*1000))+$H$5*(BT61*BM61/($K$5*1000))*(BT61*BM61/($K$5*1000)))</f>
        <v>0</v>
      </c>
      <c r="Q61">
        <f>H61*(1000-(1000*0.61365*exp(17.502*U61/(240.97+U61))/(BM61+BN61)+BH61)/2)/(1000*0.61365*exp(17.502*U61/(240.97+U61))/(BM61+BN61)-BH61)</f>
        <v>0</v>
      </c>
      <c r="R61">
        <f>1/((BA61+1)/(O61/1.6)+1/(P61/1.37)) + BA61/((BA61+1)/(O61/1.6) + BA61/(P61/1.37))</f>
        <v>0</v>
      </c>
      <c r="S61">
        <f>(AV61*AY61)</f>
        <v>0</v>
      </c>
      <c r="T61">
        <f>(BO61+(S61+2*0.95*5.67E-8*(((BO61+$B$7)+273)^4-(BO61+273)^4)-44100*H61)/(1.84*29.3*P61+8*0.95*5.67E-8*(BO61+273)^3))</f>
        <v>0</v>
      </c>
      <c r="U61">
        <f>($C$7*BP61+$D$7*BQ61+$E$7*T61)</f>
        <v>0</v>
      </c>
      <c r="V61">
        <f>0.61365*exp(17.502*U61/(240.97+U61))</f>
        <v>0</v>
      </c>
      <c r="W61">
        <f>(X61/Y61*100)</f>
        <v>0</v>
      </c>
      <c r="X61">
        <f>BH61*(BM61+BN61)/1000</f>
        <v>0</v>
      </c>
      <c r="Y61">
        <f>0.61365*exp(17.502*BO61/(240.97+BO61))</f>
        <v>0</v>
      </c>
      <c r="Z61">
        <f>(V61-BH61*(BM61+BN61)/1000)</f>
        <v>0</v>
      </c>
      <c r="AA61">
        <f>(-H61*44100)</f>
        <v>0</v>
      </c>
      <c r="AB61">
        <f>2*29.3*P61*0.92*(BO61-U61)</f>
        <v>0</v>
      </c>
      <c r="AC61">
        <f>2*0.95*5.67E-8*(((BO61+$B$7)+273)^4-(U61+273)^4)</f>
        <v>0</v>
      </c>
      <c r="AD61">
        <f>S61+AC61+AA61+AB61</f>
        <v>0</v>
      </c>
      <c r="AE61">
        <f>BL61*AS61*(BG61-BF61*(1000-AS61*BI61)/(1000-AS61*BH61))/(100*AZ61)</f>
        <v>0</v>
      </c>
      <c r="AF61">
        <f>1000*BL61*AS61*(BH61-BI61)/(100*AZ61*(1000-AS61*BH61))</f>
        <v>0</v>
      </c>
      <c r="AG61">
        <f>(AH61 - AI61 - BM61*1E3/(8.314*(BO61+273.15)) * AK61/BL61 * AJ61) * BL61/(100*AZ61) * (1000 - BI61)/1000</f>
        <v>0</v>
      </c>
      <c r="AH61">
        <v>409.018555948453</v>
      </c>
      <c r="AI61">
        <v>403.9617151515149</v>
      </c>
      <c r="AJ61">
        <v>-0.0007702800017350362</v>
      </c>
      <c r="AK61">
        <v>66.95575192034096</v>
      </c>
      <c r="AL61">
        <f>(AN61 - AM61 + BM61*1E3/(8.314*(BO61+273.15)) * AP61/BL61 * AO61) * BL61/(100*AZ61) * 1000/(1000 - AN61)</f>
        <v>0</v>
      </c>
      <c r="AM61">
        <v>9.989788743106134</v>
      </c>
      <c r="AN61">
        <v>15.25645696969696</v>
      </c>
      <c r="AO61">
        <v>0.006767513022472848</v>
      </c>
      <c r="AP61">
        <v>79.24759981449775</v>
      </c>
      <c r="AQ61">
        <v>1</v>
      </c>
      <c r="AR61">
        <v>0</v>
      </c>
      <c r="AS61">
        <f>IF(AQ61*$H$13&gt;=AU61,1.0,(AU61/(AU61-AQ61*$H$13)))</f>
        <v>0</v>
      </c>
      <c r="AT61">
        <f>(AS61-1)*100</f>
        <v>0</v>
      </c>
      <c r="AU61">
        <f>MAX(0,($B$13+$C$13*BT61)/(1+$D$13*BT61)*BM61/(BO61+273)*$E$13)</f>
        <v>0</v>
      </c>
      <c r="AV61">
        <f>$B$11*BU61+$C$11*BV61+$F$11*CG61*(1-CJ61)</f>
        <v>0</v>
      </c>
      <c r="AW61">
        <f>AV61*AX61</f>
        <v>0</v>
      </c>
      <c r="AX61">
        <f>($B$11*$D$9+$C$11*$D$9+$F$11*((CT61+CL61)/MAX(CT61+CL61+CU61, 0.1)*$I$9+CU61/MAX(CT61+CL61+CU61, 0.1)*$J$9))/($B$11+$C$11+$F$11)</f>
        <v>0</v>
      </c>
      <c r="AY61">
        <f>($B$11*$K$9+$C$11*$K$9+$F$11*((CT61+CL61)/MAX(CT61+CL61+CU61, 0.1)*$P$9+CU61/MAX(CT61+CL61+CU61, 0.1)*$Q$9))/($B$11+$C$11+$F$11)</f>
        <v>0</v>
      </c>
      <c r="AZ61">
        <v>6</v>
      </c>
      <c r="BA61">
        <v>0.5</v>
      </c>
      <c r="BB61" t="s">
        <v>353</v>
      </c>
      <c r="BC61">
        <v>2</v>
      </c>
      <c r="BD61" t="b">
        <v>0</v>
      </c>
      <c r="BE61">
        <v>1750702978.849999</v>
      </c>
      <c r="BF61">
        <v>397.8612666666667</v>
      </c>
      <c r="BG61">
        <v>404.9461333333335</v>
      </c>
      <c r="BH61">
        <v>15.21117666666667</v>
      </c>
      <c r="BI61">
        <v>9.85589166666667</v>
      </c>
      <c r="BJ61">
        <v>395.7582666666667</v>
      </c>
      <c r="BK61">
        <v>15.09428</v>
      </c>
      <c r="BL61">
        <v>800.0066666666667</v>
      </c>
      <c r="BM61">
        <v>101.4772333333333</v>
      </c>
      <c r="BN61">
        <v>0.09975694333333335</v>
      </c>
      <c r="BO61">
        <v>23.25338333333334</v>
      </c>
      <c r="BP61">
        <v>19.75613666666667</v>
      </c>
      <c r="BQ61">
        <v>999.9000000000002</v>
      </c>
      <c r="BR61">
        <v>0</v>
      </c>
      <c r="BS61">
        <v>0</v>
      </c>
      <c r="BT61">
        <v>10006.06433333333</v>
      </c>
      <c r="BU61">
        <v>0</v>
      </c>
      <c r="BV61">
        <v>0.00152894</v>
      </c>
      <c r="BW61">
        <v>-7.124742999999999</v>
      </c>
      <c r="BX61">
        <v>403.9661666666667</v>
      </c>
      <c r="BY61">
        <v>408.9769666666667</v>
      </c>
      <c r="BZ61">
        <v>5.355278999999999</v>
      </c>
      <c r="CA61">
        <v>404.9461333333335</v>
      </c>
      <c r="CB61">
        <v>9.85589166666667</v>
      </c>
      <c r="CC61">
        <v>1.543586333333333</v>
      </c>
      <c r="CD61">
        <v>1.000148</v>
      </c>
      <c r="CE61">
        <v>13.40685333333334</v>
      </c>
      <c r="CF61">
        <v>6.917894666666667</v>
      </c>
      <c r="CG61">
        <v>999.9738333333333</v>
      </c>
      <c r="CH61">
        <v>0.9600091666666668</v>
      </c>
      <c r="CI61">
        <v>0.03999065333333333</v>
      </c>
      <c r="CJ61">
        <v>0</v>
      </c>
      <c r="CK61">
        <v>2.759666666666666</v>
      </c>
      <c r="CL61">
        <v>0</v>
      </c>
      <c r="CM61">
        <v>6599.495666666667</v>
      </c>
      <c r="CN61">
        <v>7946.735333333332</v>
      </c>
      <c r="CO61">
        <v>37.84349999999999</v>
      </c>
      <c r="CP61">
        <v>41.01229999999998</v>
      </c>
      <c r="CQ61">
        <v>39.2101</v>
      </c>
      <c r="CR61">
        <v>40.71016666666664</v>
      </c>
      <c r="CS61">
        <v>37.87056666666665</v>
      </c>
      <c r="CT61">
        <v>959.9830000000001</v>
      </c>
      <c r="CU61">
        <v>39.99</v>
      </c>
      <c r="CV61">
        <v>0</v>
      </c>
      <c r="CW61">
        <v>1750703003.6</v>
      </c>
      <c r="CX61">
        <v>0</v>
      </c>
      <c r="CY61">
        <v>1750703010.1</v>
      </c>
      <c r="CZ61" t="s">
        <v>488</v>
      </c>
      <c r="DA61">
        <v>1750703010.1</v>
      </c>
      <c r="DB61">
        <v>1750702814.1</v>
      </c>
      <c r="DC61">
        <v>41</v>
      </c>
      <c r="DD61">
        <v>0.043</v>
      </c>
      <c r="DE61">
        <v>0.024</v>
      </c>
      <c r="DF61">
        <v>2.103</v>
      </c>
      <c r="DG61">
        <v>0.083</v>
      </c>
      <c r="DH61">
        <v>405</v>
      </c>
      <c r="DI61">
        <v>14</v>
      </c>
      <c r="DJ61">
        <v>0.26</v>
      </c>
      <c r="DK61">
        <v>0.06</v>
      </c>
      <c r="DL61">
        <v>-7.101437250000001</v>
      </c>
      <c r="DM61">
        <v>-0.318377673545957</v>
      </c>
      <c r="DN61">
        <v>0.04677910772917224</v>
      </c>
      <c r="DO61">
        <v>0</v>
      </c>
      <c r="DP61">
        <v>5.37851675</v>
      </c>
      <c r="DQ61">
        <v>-0.714829305816144</v>
      </c>
      <c r="DR61">
        <v>0.07392782309075187</v>
      </c>
      <c r="DS61">
        <v>0</v>
      </c>
      <c r="DT61">
        <v>0</v>
      </c>
      <c r="DU61">
        <v>2</v>
      </c>
      <c r="DV61" t="s">
        <v>372</v>
      </c>
      <c r="DW61">
        <v>3.4459</v>
      </c>
      <c r="DX61">
        <v>2.78104</v>
      </c>
      <c r="DY61">
        <v>0.0968473</v>
      </c>
      <c r="DZ61">
        <v>0.0984594</v>
      </c>
      <c r="EA61">
        <v>0.0868834</v>
      </c>
      <c r="EB61">
        <v>0.06338770000000001</v>
      </c>
      <c r="EC61">
        <v>27336.6</v>
      </c>
      <c r="ED61">
        <v>31056</v>
      </c>
      <c r="EE61">
        <v>29391</v>
      </c>
      <c r="EF61">
        <v>35025.7</v>
      </c>
      <c r="EG61">
        <v>31039.4</v>
      </c>
      <c r="EH61">
        <v>40753.2</v>
      </c>
      <c r="EI61">
        <v>36185.8</v>
      </c>
      <c r="EJ61">
        <v>46395.1</v>
      </c>
      <c r="EK61">
        <v>2.5489</v>
      </c>
      <c r="EL61">
        <v>2.28095</v>
      </c>
      <c r="EM61">
        <v>-0.08779389999999999</v>
      </c>
      <c r="EN61">
        <v>0</v>
      </c>
      <c r="EO61">
        <v>21.2597</v>
      </c>
      <c r="EP61">
        <v>999.9</v>
      </c>
      <c r="EQ61">
        <v>55</v>
      </c>
      <c r="ER61">
        <v>25.4</v>
      </c>
      <c r="ES61">
        <v>17.6484</v>
      </c>
      <c r="ET61">
        <v>61.6164</v>
      </c>
      <c r="EU61">
        <v>26.4904</v>
      </c>
      <c r="EV61">
        <v>2</v>
      </c>
      <c r="EW61">
        <v>-0.468674</v>
      </c>
      <c r="EX61">
        <v>0</v>
      </c>
      <c r="EY61">
        <v>20.2944</v>
      </c>
      <c r="EZ61">
        <v>5.2131</v>
      </c>
      <c r="FA61">
        <v>11.9683</v>
      </c>
      <c r="FB61">
        <v>4.9915</v>
      </c>
      <c r="FC61">
        <v>3.272</v>
      </c>
      <c r="FD61">
        <v>2877.9</v>
      </c>
      <c r="FE61">
        <v>9999</v>
      </c>
      <c r="FF61">
        <v>9999</v>
      </c>
      <c r="FG61">
        <v>999.9</v>
      </c>
      <c r="FH61">
        <v>4.97259</v>
      </c>
      <c r="FI61">
        <v>1.86263</v>
      </c>
      <c r="FJ61">
        <v>1.86435</v>
      </c>
      <c r="FK61">
        <v>1.86279</v>
      </c>
      <c r="FL61">
        <v>1.86279</v>
      </c>
      <c r="FM61">
        <v>1.8634</v>
      </c>
      <c r="FN61">
        <v>1.85989</v>
      </c>
      <c r="FO61">
        <v>1.86268</v>
      </c>
      <c r="FP61">
        <v>0</v>
      </c>
      <c r="FQ61">
        <v>0</v>
      </c>
      <c r="FR61">
        <v>0</v>
      </c>
      <c r="FS61">
        <v>0</v>
      </c>
      <c r="FT61" t="s">
        <v>356</v>
      </c>
      <c r="FU61" t="s">
        <v>357</v>
      </c>
      <c r="FV61" t="s">
        <v>358</v>
      </c>
      <c r="FW61" t="s">
        <v>358</v>
      </c>
      <c r="FX61" t="s">
        <v>358</v>
      </c>
      <c r="FY61" t="s">
        <v>358</v>
      </c>
      <c r="FZ61">
        <v>0</v>
      </c>
      <c r="GA61">
        <v>100</v>
      </c>
      <c r="GB61">
        <v>100</v>
      </c>
      <c r="GC61">
        <v>2.103</v>
      </c>
      <c r="GD61">
        <v>0.1183</v>
      </c>
      <c r="GE61">
        <v>2.343252600273415</v>
      </c>
      <c r="GF61">
        <v>-0.001033730503750798</v>
      </c>
      <c r="GG61">
        <v>9.120241388950126E-07</v>
      </c>
      <c r="GH61">
        <v>-2.246115299815222E-10</v>
      </c>
      <c r="GI61">
        <v>-0.02015902148970845</v>
      </c>
      <c r="GJ61">
        <v>-0.01814858093373864</v>
      </c>
      <c r="GK61">
        <v>0.002091959988359369</v>
      </c>
      <c r="GL61">
        <v>-1.90871700788604E-05</v>
      </c>
      <c r="GM61">
        <v>2</v>
      </c>
      <c r="GN61">
        <v>2210</v>
      </c>
      <c r="GO61">
        <v>1</v>
      </c>
      <c r="GP61">
        <v>26</v>
      </c>
      <c r="GQ61">
        <v>2.8</v>
      </c>
      <c r="GR61">
        <v>2.9</v>
      </c>
      <c r="GS61">
        <v>1.25977</v>
      </c>
      <c r="GT61">
        <v>2.39746</v>
      </c>
      <c r="GU61">
        <v>2.34863</v>
      </c>
      <c r="GV61">
        <v>2.75024</v>
      </c>
      <c r="GW61">
        <v>2.39868</v>
      </c>
      <c r="GX61">
        <v>2.24365</v>
      </c>
      <c r="GY61">
        <v>29.7083</v>
      </c>
      <c r="GZ61">
        <v>12.9675</v>
      </c>
      <c r="HA61">
        <v>18</v>
      </c>
      <c r="HB61">
        <v>800.724</v>
      </c>
      <c r="HC61">
        <v>648.998</v>
      </c>
      <c r="HD61">
        <v>22.4333</v>
      </c>
      <c r="HE61">
        <v>21.3018</v>
      </c>
      <c r="HF61">
        <v>30.0003</v>
      </c>
      <c r="HG61">
        <v>21.1623</v>
      </c>
      <c r="HH61">
        <v>21.1183</v>
      </c>
      <c r="HI61">
        <v>25.258</v>
      </c>
      <c r="HJ61">
        <v>42.4444</v>
      </c>
      <c r="HK61">
        <v>8.56549</v>
      </c>
      <c r="HL61">
        <v>-999.9</v>
      </c>
      <c r="HM61">
        <v>405</v>
      </c>
      <c r="HN61">
        <v>10.1994</v>
      </c>
      <c r="HO61">
        <v>100.921</v>
      </c>
      <c r="HP61">
        <v>101.274</v>
      </c>
    </row>
    <row r="62" spans="1:224">
      <c r="A62">
        <v>46</v>
      </c>
      <c r="B62">
        <v>1750703100.5</v>
      </c>
      <c r="C62">
        <v>8237.400000095367</v>
      </c>
      <c r="D62" t="s">
        <v>489</v>
      </c>
      <c r="E62" t="s">
        <v>490</v>
      </c>
      <c r="F62">
        <v>15</v>
      </c>
      <c r="G62">
        <v>1750703092.532258</v>
      </c>
      <c r="H62">
        <f>(I62)/1000</f>
        <v>0</v>
      </c>
      <c r="I62">
        <f>IF(BD62, AL62, AF62)</f>
        <v>0</v>
      </c>
      <c r="J62">
        <f>IF(BD62, AG62, AE62)</f>
        <v>0</v>
      </c>
      <c r="K62">
        <f>BF62 - IF(AS62&gt;1, J62*AZ62*100.0/(AU62), 0)</f>
        <v>0</v>
      </c>
      <c r="L62">
        <f>((R62-H62/2)*K62-J62)/(R62+H62/2)</f>
        <v>0</v>
      </c>
      <c r="M62">
        <f>L62*(BM62+BN62)/1000.0</f>
        <v>0</v>
      </c>
      <c r="N62">
        <f>(BF62 - IF(AS62&gt;1, J62*AZ62*100.0/(AU62), 0))*(BM62+BN62)/1000.0</f>
        <v>0</v>
      </c>
      <c r="O62">
        <f>2.0/((1/Q62-1/P62)+SIGN(Q62)*SQRT((1/Q62-1/P62)*(1/Q62-1/P62) + 4*BA62/((BA62+1)*(BA62+1))*(2*1/Q62*1/P62-1/P62*1/P62)))</f>
        <v>0</v>
      </c>
      <c r="P62">
        <f>IF(LEFT(BB62,1)&lt;&gt;"0",IF(LEFT(BB62,1)="1",3.0,BC62),$D$5+$E$5*(BT62*BM62/($K$5*1000))+$F$5*(BT62*BM62/($K$5*1000))*MAX(MIN(AZ62,$J$5),$I$5)*MAX(MIN(AZ62,$J$5),$I$5)+$G$5*MAX(MIN(AZ62,$J$5),$I$5)*(BT62*BM62/($K$5*1000))+$H$5*(BT62*BM62/($K$5*1000))*(BT62*BM62/($K$5*1000)))</f>
        <v>0</v>
      </c>
      <c r="Q62">
        <f>H62*(1000-(1000*0.61365*exp(17.502*U62/(240.97+U62))/(BM62+BN62)+BH62)/2)/(1000*0.61365*exp(17.502*U62/(240.97+U62))/(BM62+BN62)-BH62)</f>
        <v>0</v>
      </c>
      <c r="R62">
        <f>1/((BA62+1)/(O62/1.6)+1/(P62/1.37)) + BA62/((BA62+1)/(O62/1.6) + BA62/(P62/1.37))</f>
        <v>0</v>
      </c>
      <c r="S62">
        <f>(AV62*AY62)</f>
        <v>0</v>
      </c>
      <c r="T62">
        <f>(BO62+(S62+2*0.95*5.67E-8*(((BO62+$B$7)+273)^4-(BO62+273)^4)-44100*H62)/(1.84*29.3*P62+8*0.95*5.67E-8*(BO62+273)^3))</f>
        <v>0</v>
      </c>
      <c r="U62">
        <f>($C$7*BP62+$D$7*BQ62+$E$7*T62)</f>
        <v>0</v>
      </c>
      <c r="V62">
        <f>0.61365*exp(17.502*U62/(240.97+U62))</f>
        <v>0</v>
      </c>
      <c r="W62">
        <f>(X62/Y62*100)</f>
        <v>0</v>
      </c>
      <c r="X62">
        <f>BH62*(BM62+BN62)/1000</f>
        <v>0</v>
      </c>
      <c r="Y62">
        <f>0.61365*exp(17.502*BO62/(240.97+BO62))</f>
        <v>0</v>
      </c>
      <c r="Z62">
        <f>(V62-BH62*(BM62+BN62)/1000)</f>
        <v>0</v>
      </c>
      <c r="AA62">
        <f>(-H62*44100)</f>
        <v>0</v>
      </c>
      <c r="AB62">
        <f>2*29.3*P62*0.92*(BO62-U62)</f>
        <v>0</v>
      </c>
      <c r="AC62">
        <f>2*0.95*5.67E-8*(((BO62+$B$7)+273)^4-(U62+273)^4)</f>
        <v>0</v>
      </c>
      <c r="AD62">
        <f>S62+AC62+AA62+AB62</f>
        <v>0</v>
      </c>
      <c r="AE62">
        <f>BL62*AS62*(BG62-BF62*(1000-AS62*BI62)/(1000-AS62*BH62))/(100*AZ62)</f>
        <v>0</v>
      </c>
      <c r="AF62">
        <f>1000*BL62*AS62*(BH62-BI62)/(100*AZ62*(1000-AS62*BH62))</f>
        <v>0</v>
      </c>
      <c r="AG62">
        <f>(AH62 - AI62 - BM62*1E3/(8.314*(BO62+273.15)) * AK62/BL62 * AJ62) * BL62/(100*AZ62) * (1000 - BI62)/1000</f>
        <v>0</v>
      </c>
      <c r="AH62">
        <v>410.4448611504103</v>
      </c>
      <c r="AI62">
        <v>402.9041878787877</v>
      </c>
      <c r="AJ62">
        <v>0.0009172040702262432</v>
      </c>
      <c r="AK62">
        <v>66.95284036783285</v>
      </c>
      <c r="AL62">
        <f>(AN62 - AM62 + BM62*1E3/(8.314*(BO62+273.15)) * AP62/BL62 * AO62) * BL62/(100*AZ62) * 1000/(1000 - AN62)</f>
        <v>0</v>
      </c>
      <c r="AM62">
        <v>13.36361599834176</v>
      </c>
      <c r="AN62">
        <v>15.39121515151515</v>
      </c>
      <c r="AO62">
        <v>0.01531752751462171</v>
      </c>
      <c r="AP62">
        <v>79.29016430783302</v>
      </c>
      <c r="AQ62">
        <v>33</v>
      </c>
      <c r="AR62">
        <v>4</v>
      </c>
      <c r="AS62">
        <f>IF(AQ62*$H$13&gt;=AU62,1.0,(AU62/(AU62-AQ62*$H$13)))</f>
        <v>0</v>
      </c>
      <c r="AT62">
        <f>(AS62-1)*100</f>
        <v>0</v>
      </c>
      <c r="AU62">
        <f>MAX(0,($B$13+$C$13*BT62)/(1+$D$13*BT62)*BM62/(BO62+273)*$E$13)</f>
        <v>0</v>
      </c>
      <c r="AV62">
        <f>$B$11*BU62+$C$11*BV62+$F$11*CG62*(1-CJ62)</f>
        <v>0</v>
      </c>
      <c r="AW62">
        <f>AV62*AX62</f>
        <v>0</v>
      </c>
      <c r="AX62">
        <f>($B$11*$D$9+$C$11*$D$9+$F$11*((CT62+CL62)/MAX(CT62+CL62+CU62, 0.1)*$I$9+CU62/MAX(CT62+CL62+CU62, 0.1)*$J$9))/($B$11+$C$11+$F$11)</f>
        <v>0</v>
      </c>
      <c r="AY62">
        <f>($B$11*$K$9+$C$11*$K$9+$F$11*((CT62+CL62)/MAX(CT62+CL62+CU62, 0.1)*$P$9+CU62/MAX(CT62+CL62+CU62, 0.1)*$Q$9))/($B$11+$C$11+$F$11)</f>
        <v>0</v>
      </c>
      <c r="AZ62">
        <v>6</v>
      </c>
      <c r="BA62">
        <v>0.5</v>
      </c>
      <c r="BB62" t="s">
        <v>353</v>
      </c>
      <c r="BC62">
        <v>2</v>
      </c>
      <c r="BD62" t="b">
        <v>0</v>
      </c>
      <c r="BE62">
        <v>1750703092.532258</v>
      </c>
      <c r="BF62">
        <v>396.6148387096774</v>
      </c>
      <c r="BG62">
        <v>404.943064516129</v>
      </c>
      <c r="BH62">
        <v>15.26886451612903</v>
      </c>
      <c r="BI62">
        <v>13.2590129032258</v>
      </c>
      <c r="BJ62">
        <v>394.6428387096774</v>
      </c>
      <c r="BK62">
        <v>15.15018709677419</v>
      </c>
      <c r="BL62">
        <v>800.0070322580644</v>
      </c>
      <c r="BM62">
        <v>101.4799354838709</v>
      </c>
      <c r="BN62">
        <v>0.09981668064516129</v>
      </c>
      <c r="BO62">
        <v>23.28055806451613</v>
      </c>
      <c r="BP62">
        <v>21.48578709677419</v>
      </c>
      <c r="BQ62">
        <v>999.9000000000003</v>
      </c>
      <c r="BR62">
        <v>0</v>
      </c>
      <c r="BS62">
        <v>0</v>
      </c>
      <c r="BT62">
        <v>10009.13741935484</v>
      </c>
      <c r="BU62">
        <v>0</v>
      </c>
      <c r="BV62">
        <v>0.00152894</v>
      </c>
      <c r="BW62">
        <v>-8.194047741935483</v>
      </c>
      <c r="BX62">
        <v>402.901</v>
      </c>
      <c r="BY62">
        <v>410.3845161290322</v>
      </c>
      <c r="BZ62">
        <v>2.00984870967742</v>
      </c>
      <c r="CA62">
        <v>404.943064516129</v>
      </c>
      <c r="CB62">
        <v>13.2590129032258</v>
      </c>
      <c r="CC62">
        <v>1.549483870967742</v>
      </c>
      <c r="CD62">
        <v>1.345523548387097</v>
      </c>
      <c r="CE62">
        <v>13.46522258064516</v>
      </c>
      <c r="CF62">
        <v>11.31699677419355</v>
      </c>
      <c r="CG62">
        <v>999.9806129032258</v>
      </c>
      <c r="CH62">
        <v>0.9599924193548384</v>
      </c>
      <c r="CI62">
        <v>0.04000725161290324</v>
      </c>
      <c r="CJ62">
        <v>0</v>
      </c>
      <c r="CK62">
        <v>2.281451612903226</v>
      </c>
      <c r="CL62">
        <v>0</v>
      </c>
      <c r="CM62">
        <v>9165.090322580647</v>
      </c>
      <c r="CN62">
        <v>7946.737096774192</v>
      </c>
      <c r="CO62">
        <v>38.71748387096774</v>
      </c>
      <c r="CP62">
        <v>41.83848387096774</v>
      </c>
      <c r="CQ62">
        <v>40.01799999999999</v>
      </c>
      <c r="CR62">
        <v>41.89687096774191</v>
      </c>
      <c r="CS62">
        <v>38.70941935483871</v>
      </c>
      <c r="CT62">
        <v>959.9735483870967</v>
      </c>
      <c r="CU62">
        <v>40.00709677419355</v>
      </c>
      <c r="CV62">
        <v>0</v>
      </c>
      <c r="CW62">
        <v>1750703117.6</v>
      </c>
      <c r="CX62">
        <v>0</v>
      </c>
      <c r="CY62">
        <v>1750703123.5</v>
      </c>
      <c r="CZ62" t="s">
        <v>491</v>
      </c>
      <c r="DA62">
        <v>1750703123.5</v>
      </c>
      <c r="DB62">
        <v>1750702814.1</v>
      </c>
      <c r="DC62">
        <v>42</v>
      </c>
      <c r="DD62">
        <v>-0.131</v>
      </c>
      <c r="DE62">
        <v>0.024</v>
      </c>
      <c r="DF62">
        <v>1.972</v>
      </c>
      <c r="DG62">
        <v>0.083</v>
      </c>
      <c r="DH62">
        <v>405</v>
      </c>
      <c r="DI62">
        <v>14</v>
      </c>
      <c r="DJ62">
        <v>0.15</v>
      </c>
      <c r="DK62">
        <v>0.06</v>
      </c>
      <c r="DL62">
        <v>-8.104603170731707</v>
      </c>
      <c r="DM62">
        <v>-1.359348306393972</v>
      </c>
      <c r="DN62">
        <v>0.1467709434498735</v>
      </c>
      <c r="DO62">
        <v>0</v>
      </c>
      <c r="DP62">
        <v>2.003802682926829</v>
      </c>
      <c r="DQ62">
        <v>0.09964763875508145</v>
      </c>
      <c r="DR62">
        <v>0.01618400294545479</v>
      </c>
      <c r="DS62">
        <v>1</v>
      </c>
      <c r="DT62">
        <v>1</v>
      </c>
      <c r="DU62">
        <v>2</v>
      </c>
      <c r="DV62" t="s">
        <v>355</v>
      </c>
      <c r="DW62">
        <v>3.44756</v>
      </c>
      <c r="DX62">
        <v>2.78086</v>
      </c>
      <c r="DY62">
        <v>0.0966264</v>
      </c>
      <c r="DZ62">
        <v>0.09848700000000001</v>
      </c>
      <c r="EA62">
        <v>0.08744970000000001</v>
      </c>
      <c r="EB62">
        <v>0.0787634</v>
      </c>
      <c r="EC62">
        <v>27343.5</v>
      </c>
      <c r="ED62">
        <v>31051.2</v>
      </c>
      <c r="EE62">
        <v>29391.4</v>
      </c>
      <c r="EF62">
        <v>35021.3</v>
      </c>
      <c r="EG62">
        <v>31021.6</v>
      </c>
      <c r="EH62">
        <v>40075.9</v>
      </c>
      <c r="EI62">
        <v>36187.9</v>
      </c>
      <c r="EJ62">
        <v>46388.7</v>
      </c>
      <c r="EK62">
        <v>2.50182</v>
      </c>
      <c r="EL62">
        <v>2.28717</v>
      </c>
      <c r="EM62">
        <v>0.046134</v>
      </c>
      <c r="EN62">
        <v>0</v>
      </c>
      <c r="EO62">
        <v>21.2588</v>
      </c>
      <c r="EP62">
        <v>999.9</v>
      </c>
      <c r="EQ62">
        <v>54.7</v>
      </c>
      <c r="ER62">
        <v>25.4</v>
      </c>
      <c r="ES62">
        <v>17.5518</v>
      </c>
      <c r="ET62">
        <v>61.7364</v>
      </c>
      <c r="EU62">
        <v>26.262</v>
      </c>
      <c r="EV62">
        <v>2</v>
      </c>
      <c r="EW62">
        <v>-0.464009</v>
      </c>
      <c r="EX62">
        <v>0</v>
      </c>
      <c r="EY62">
        <v>20.2944</v>
      </c>
      <c r="EZ62">
        <v>5.21564</v>
      </c>
      <c r="FA62">
        <v>11.968</v>
      </c>
      <c r="FB62">
        <v>4.99175</v>
      </c>
      <c r="FC62">
        <v>3.272</v>
      </c>
      <c r="FD62">
        <v>2881.4</v>
      </c>
      <c r="FE62">
        <v>9999</v>
      </c>
      <c r="FF62">
        <v>9999</v>
      </c>
      <c r="FG62">
        <v>999.9</v>
      </c>
      <c r="FH62">
        <v>4.97259</v>
      </c>
      <c r="FI62">
        <v>1.86261</v>
      </c>
      <c r="FJ62">
        <v>1.86435</v>
      </c>
      <c r="FK62">
        <v>1.86279</v>
      </c>
      <c r="FL62">
        <v>1.86279</v>
      </c>
      <c r="FM62">
        <v>1.8634</v>
      </c>
      <c r="FN62">
        <v>1.85989</v>
      </c>
      <c r="FO62">
        <v>1.86265</v>
      </c>
      <c r="FP62">
        <v>0</v>
      </c>
      <c r="FQ62">
        <v>0</v>
      </c>
      <c r="FR62">
        <v>0</v>
      </c>
      <c r="FS62">
        <v>0</v>
      </c>
      <c r="FT62" t="s">
        <v>356</v>
      </c>
      <c r="FU62" t="s">
        <v>357</v>
      </c>
      <c r="FV62" t="s">
        <v>358</v>
      </c>
      <c r="FW62" t="s">
        <v>358</v>
      </c>
      <c r="FX62" t="s">
        <v>358</v>
      </c>
      <c r="FY62" t="s">
        <v>358</v>
      </c>
      <c r="FZ62">
        <v>0</v>
      </c>
      <c r="GA62">
        <v>100</v>
      </c>
      <c r="GB62">
        <v>100</v>
      </c>
      <c r="GC62">
        <v>1.972</v>
      </c>
      <c r="GD62">
        <v>0.1227</v>
      </c>
      <c r="GE62">
        <v>2.386084419964746</v>
      </c>
      <c r="GF62">
        <v>-0.001033730503750798</v>
      </c>
      <c r="GG62">
        <v>9.120241388950126E-07</v>
      </c>
      <c r="GH62">
        <v>-2.246115299815222E-10</v>
      </c>
      <c r="GI62">
        <v>-0.02015902148970845</v>
      </c>
      <c r="GJ62">
        <v>-0.01814858093373864</v>
      </c>
      <c r="GK62">
        <v>0.002091959988359369</v>
      </c>
      <c r="GL62">
        <v>-1.90871700788604E-05</v>
      </c>
      <c r="GM62">
        <v>2</v>
      </c>
      <c r="GN62">
        <v>2210</v>
      </c>
      <c r="GO62">
        <v>1</v>
      </c>
      <c r="GP62">
        <v>26</v>
      </c>
      <c r="GQ62">
        <v>1.5</v>
      </c>
      <c r="GR62">
        <v>4.8</v>
      </c>
      <c r="GS62">
        <v>1.26221</v>
      </c>
      <c r="GT62">
        <v>2.38159</v>
      </c>
      <c r="GU62">
        <v>2.34741</v>
      </c>
      <c r="GV62">
        <v>2.75269</v>
      </c>
      <c r="GW62">
        <v>2.39868</v>
      </c>
      <c r="GX62">
        <v>2.26685</v>
      </c>
      <c r="GY62">
        <v>29.751</v>
      </c>
      <c r="GZ62">
        <v>12.915</v>
      </c>
      <c r="HA62">
        <v>18</v>
      </c>
      <c r="HB62">
        <v>762.523</v>
      </c>
      <c r="HC62">
        <v>654.73</v>
      </c>
      <c r="HD62">
        <v>22.4401</v>
      </c>
      <c r="HE62">
        <v>21.3574</v>
      </c>
      <c r="HF62">
        <v>30.0004</v>
      </c>
      <c r="HG62">
        <v>21.22</v>
      </c>
      <c r="HH62">
        <v>21.1765</v>
      </c>
      <c r="HI62">
        <v>25.3225</v>
      </c>
      <c r="HJ62">
        <v>27.2862</v>
      </c>
      <c r="HK62">
        <v>7.50896</v>
      </c>
      <c r="HL62">
        <v>-999.9</v>
      </c>
      <c r="HM62">
        <v>405</v>
      </c>
      <c r="HN62">
        <v>13.4223</v>
      </c>
      <c r="HO62">
        <v>100.924</v>
      </c>
      <c r="HP62">
        <v>101.261</v>
      </c>
    </row>
    <row r="63" spans="1:224">
      <c r="A63">
        <v>47</v>
      </c>
      <c r="B63">
        <v>1750703209.5</v>
      </c>
      <c r="C63">
        <v>8346.400000095367</v>
      </c>
      <c r="D63" t="s">
        <v>492</v>
      </c>
      <c r="E63" t="s">
        <v>493</v>
      </c>
      <c r="F63">
        <v>15</v>
      </c>
      <c r="G63">
        <v>1750703201.5</v>
      </c>
      <c r="H63">
        <f>(I63)/1000</f>
        <v>0</v>
      </c>
      <c r="I63">
        <f>IF(BD63, AL63, AF63)</f>
        <v>0</v>
      </c>
      <c r="J63">
        <f>IF(BD63, AG63, AE63)</f>
        <v>0</v>
      </c>
      <c r="K63">
        <f>BF63 - IF(AS63&gt;1, J63*AZ63*100.0/(AU63), 0)</f>
        <v>0</v>
      </c>
      <c r="L63">
        <f>((R63-H63/2)*K63-J63)/(R63+H63/2)</f>
        <v>0</v>
      </c>
      <c r="M63">
        <f>L63*(BM63+BN63)/1000.0</f>
        <v>0</v>
      </c>
      <c r="N63">
        <f>(BF63 - IF(AS63&gt;1, J63*AZ63*100.0/(AU63), 0))*(BM63+BN63)/1000.0</f>
        <v>0</v>
      </c>
      <c r="O63">
        <f>2.0/((1/Q63-1/P63)+SIGN(Q63)*SQRT((1/Q63-1/P63)*(1/Q63-1/P63) + 4*BA63/((BA63+1)*(BA63+1))*(2*1/Q63*1/P63-1/P63*1/P63)))</f>
        <v>0</v>
      </c>
      <c r="P63">
        <f>IF(LEFT(BB63,1)&lt;&gt;"0",IF(LEFT(BB63,1)="1",3.0,BC63),$D$5+$E$5*(BT63*BM63/($K$5*1000))+$F$5*(BT63*BM63/($K$5*1000))*MAX(MIN(AZ63,$J$5),$I$5)*MAX(MIN(AZ63,$J$5),$I$5)+$G$5*MAX(MIN(AZ63,$J$5),$I$5)*(BT63*BM63/($K$5*1000))+$H$5*(BT63*BM63/($K$5*1000))*(BT63*BM63/($K$5*1000)))</f>
        <v>0</v>
      </c>
      <c r="Q63">
        <f>H63*(1000-(1000*0.61365*exp(17.502*U63/(240.97+U63))/(BM63+BN63)+BH63)/2)/(1000*0.61365*exp(17.502*U63/(240.97+U63))/(BM63+BN63)-BH63)</f>
        <v>0</v>
      </c>
      <c r="R63">
        <f>1/((BA63+1)/(O63/1.6)+1/(P63/1.37)) + BA63/((BA63+1)/(O63/1.6) + BA63/(P63/1.37))</f>
        <v>0</v>
      </c>
      <c r="S63">
        <f>(AV63*AY63)</f>
        <v>0</v>
      </c>
      <c r="T63">
        <f>(BO63+(S63+2*0.95*5.67E-8*(((BO63+$B$7)+273)^4-(BO63+273)^4)-44100*H63)/(1.84*29.3*P63+8*0.95*5.67E-8*(BO63+273)^3))</f>
        <v>0</v>
      </c>
      <c r="U63">
        <f>($C$7*BP63+$D$7*BQ63+$E$7*T63)</f>
        <v>0</v>
      </c>
      <c r="V63">
        <f>0.61365*exp(17.502*U63/(240.97+U63))</f>
        <v>0</v>
      </c>
      <c r="W63">
        <f>(X63/Y63*100)</f>
        <v>0</v>
      </c>
      <c r="X63">
        <f>BH63*(BM63+BN63)/1000</f>
        <v>0</v>
      </c>
      <c r="Y63">
        <f>0.61365*exp(17.502*BO63/(240.97+BO63))</f>
        <v>0</v>
      </c>
      <c r="Z63">
        <f>(V63-BH63*(BM63+BN63)/1000)</f>
        <v>0</v>
      </c>
      <c r="AA63">
        <f>(-H63*44100)</f>
        <v>0</v>
      </c>
      <c r="AB63">
        <f>2*29.3*P63*0.92*(BO63-U63)</f>
        <v>0</v>
      </c>
      <c r="AC63">
        <f>2*0.95*5.67E-8*(((BO63+$B$7)+273)^4-(U63+273)^4)</f>
        <v>0</v>
      </c>
      <c r="AD63">
        <f>S63+AC63+AA63+AB63</f>
        <v>0</v>
      </c>
      <c r="AE63">
        <f>BL63*AS63*(BG63-BF63*(1000-AS63*BI63)/(1000-AS63*BH63))/(100*AZ63)</f>
        <v>0</v>
      </c>
      <c r="AF63">
        <f>1000*BL63*AS63*(BH63-BI63)/(100*AZ63*(1000-AS63*BH63))</f>
        <v>0</v>
      </c>
      <c r="AG63">
        <f>(AH63 - AI63 - BM63*1E3/(8.314*(BO63+273.15)) * AK63/BL63 * AJ63) * BL63/(100*AZ63) * (1000 - BI63)/1000</f>
        <v>0</v>
      </c>
      <c r="AH63">
        <v>410.6723450536214</v>
      </c>
      <c r="AI63">
        <v>403.9259454545455</v>
      </c>
      <c r="AJ63">
        <v>3.606015040963957E-05</v>
      </c>
      <c r="AK63">
        <v>66.95246893579662</v>
      </c>
      <c r="AL63">
        <f>(AN63 - AM63 + BM63*1E3/(8.314*(BO63+273.15)) * AP63/BL63 * AO63) * BL63/(100*AZ63) * 1000/(1000 - AN63)</f>
        <v>0</v>
      </c>
      <c r="AM63">
        <v>13.90564504957606</v>
      </c>
      <c r="AN63">
        <v>15.57858787878787</v>
      </c>
      <c r="AO63">
        <v>0.007852230461214589</v>
      </c>
      <c r="AP63">
        <v>79.30783785504448</v>
      </c>
      <c r="AQ63">
        <v>0</v>
      </c>
      <c r="AR63">
        <v>0</v>
      </c>
      <c r="AS63">
        <f>IF(AQ63*$H$13&gt;=AU63,1.0,(AU63/(AU63-AQ63*$H$13)))</f>
        <v>0</v>
      </c>
      <c r="AT63">
        <f>(AS63-1)*100</f>
        <v>0</v>
      </c>
      <c r="AU63">
        <f>MAX(0,($B$13+$C$13*BT63)/(1+$D$13*BT63)*BM63/(BO63+273)*$E$13)</f>
        <v>0</v>
      </c>
      <c r="AV63">
        <f>$B$11*BU63+$C$11*BV63+$F$11*CG63*(1-CJ63)</f>
        <v>0</v>
      </c>
      <c r="AW63">
        <f>AV63*AX63</f>
        <v>0</v>
      </c>
      <c r="AX63">
        <f>($B$11*$D$9+$C$11*$D$9+$F$11*((CT63+CL63)/MAX(CT63+CL63+CU63, 0.1)*$I$9+CU63/MAX(CT63+CL63+CU63, 0.1)*$J$9))/($B$11+$C$11+$F$11)</f>
        <v>0</v>
      </c>
      <c r="AY63">
        <f>($B$11*$K$9+$C$11*$K$9+$F$11*((CT63+CL63)/MAX(CT63+CL63+CU63, 0.1)*$P$9+CU63/MAX(CT63+CL63+CU63, 0.1)*$Q$9))/($B$11+$C$11+$F$11)</f>
        <v>0</v>
      </c>
      <c r="AZ63">
        <v>6</v>
      </c>
      <c r="BA63">
        <v>0.5</v>
      </c>
      <c r="BB63" t="s">
        <v>353</v>
      </c>
      <c r="BC63">
        <v>2</v>
      </c>
      <c r="BD63" t="b">
        <v>0</v>
      </c>
      <c r="BE63">
        <v>1750703201.5</v>
      </c>
      <c r="BF63">
        <v>397.7815161290324</v>
      </c>
      <c r="BG63">
        <v>404.9601290322581</v>
      </c>
      <c r="BH63">
        <v>15.52655483870968</v>
      </c>
      <c r="BI63">
        <v>13.84286451612903</v>
      </c>
      <c r="BJ63">
        <v>395.6985161290324</v>
      </c>
      <c r="BK63">
        <v>15.39979032258064</v>
      </c>
      <c r="BL63">
        <v>800.0046129032258</v>
      </c>
      <c r="BM63">
        <v>101.4821612903226</v>
      </c>
      <c r="BN63">
        <v>0.0998564322580645</v>
      </c>
      <c r="BO63">
        <v>23.46817096774193</v>
      </c>
      <c r="BP63">
        <v>22.96919354838709</v>
      </c>
      <c r="BQ63">
        <v>999.9000000000003</v>
      </c>
      <c r="BR63">
        <v>0</v>
      </c>
      <c r="BS63">
        <v>0</v>
      </c>
      <c r="BT63">
        <v>9999.900322580646</v>
      </c>
      <c r="BU63">
        <v>0</v>
      </c>
      <c r="BV63">
        <v>0.00152894</v>
      </c>
      <c r="BW63">
        <v>-7.287036129032257</v>
      </c>
      <c r="BX63">
        <v>403.9449677419354</v>
      </c>
      <c r="BY63">
        <v>410.6446129032258</v>
      </c>
      <c r="BZ63">
        <v>1.683702903225806</v>
      </c>
      <c r="CA63">
        <v>404.9601290322581</v>
      </c>
      <c r="CB63">
        <v>13.84286451612903</v>
      </c>
      <c r="CC63">
        <v>1.575669032258064</v>
      </c>
      <c r="CD63">
        <v>1.404803225806452</v>
      </c>
      <c r="CE63">
        <v>13.72288064516129</v>
      </c>
      <c r="CF63">
        <v>11.96950967741935</v>
      </c>
      <c r="CG63">
        <v>999.9927741935484</v>
      </c>
      <c r="CH63">
        <v>0.9600159032258069</v>
      </c>
      <c r="CI63">
        <v>0.03998371612903227</v>
      </c>
      <c r="CJ63">
        <v>0</v>
      </c>
      <c r="CK63">
        <v>1.140322580645162</v>
      </c>
      <c r="CL63">
        <v>0</v>
      </c>
      <c r="CM63">
        <v>7943.101290322582</v>
      </c>
      <c r="CN63">
        <v>7946.913225806453</v>
      </c>
      <c r="CO63">
        <v>36.41306451612903</v>
      </c>
      <c r="CP63">
        <v>38.46348387096773</v>
      </c>
      <c r="CQ63">
        <v>37.72561290322579</v>
      </c>
      <c r="CR63">
        <v>37.77593548387095</v>
      </c>
      <c r="CS63">
        <v>36.54416129032258</v>
      </c>
      <c r="CT63">
        <v>960.0103225806454</v>
      </c>
      <c r="CU63">
        <v>39.98193548387097</v>
      </c>
      <c r="CV63">
        <v>0</v>
      </c>
      <c r="CW63">
        <v>1750703226.2</v>
      </c>
      <c r="CX63">
        <v>0</v>
      </c>
      <c r="CY63">
        <v>1750703231.5</v>
      </c>
      <c r="CZ63" t="s">
        <v>494</v>
      </c>
      <c r="DA63">
        <v>1750703231.5</v>
      </c>
      <c r="DB63">
        <v>1750702814.1</v>
      </c>
      <c r="DC63">
        <v>43</v>
      </c>
      <c r="DD63">
        <v>0.111</v>
      </c>
      <c r="DE63">
        <v>0.024</v>
      </c>
      <c r="DF63">
        <v>2.083</v>
      </c>
      <c r="DG63">
        <v>0.083</v>
      </c>
      <c r="DH63">
        <v>405</v>
      </c>
      <c r="DI63">
        <v>14</v>
      </c>
      <c r="DJ63">
        <v>0.18</v>
      </c>
      <c r="DK63">
        <v>0.06</v>
      </c>
      <c r="DL63">
        <v>-7.270044000000001</v>
      </c>
      <c r="DM63">
        <v>-0.2089154971857168</v>
      </c>
      <c r="DN63">
        <v>0.03372944016730786</v>
      </c>
      <c r="DO63">
        <v>0</v>
      </c>
      <c r="DP63">
        <v>1.7079295</v>
      </c>
      <c r="DQ63">
        <v>-0.3834216135084447</v>
      </c>
      <c r="DR63">
        <v>0.04077709804228351</v>
      </c>
      <c r="DS63">
        <v>0</v>
      </c>
      <c r="DT63">
        <v>0</v>
      </c>
      <c r="DU63">
        <v>2</v>
      </c>
      <c r="DV63" t="s">
        <v>372</v>
      </c>
      <c r="DW63">
        <v>3.4477</v>
      </c>
      <c r="DX63">
        <v>2.78061</v>
      </c>
      <c r="DY63">
        <v>0.09681960000000001</v>
      </c>
      <c r="DZ63">
        <v>0.0984805</v>
      </c>
      <c r="EA63">
        <v>0.0882</v>
      </c>
      <c r="EB63">
        <v>0.0811412</v>
      </c>
      <c r="EC63">
        <v>27335.4</v>
      </c>
      <c r="ED63">
        <v>31049.8</v>
      </c>
      <c r="EE63">
        <v>29389.1</v>
      </c>
      <c r="EF63">
        <v>35019.7</v>
      </c>
      <c r="EG63">
        <v>30993.4</v>
      </c>
      <c r="EH63">
        <v>39970.1</v>
      </c>
      <c r="EI63">
        <v>36185.1</v>
      </c>
      <c r="EJ63">
        <v>46386.3</v>
      </c>
      <c r="EK63">
        <v>2.55083</v>
      </c>
      <c r="EL63">
        <v>2.28885</v>
      </c>
      <c r="EM63">
        <v>0.1017</v>
      </c>
      <c r="EN63">
        <v>0</v>
      </c>
      <c r="EO63">
        <v>21.2759</v>
      </c>
      <c r="EP63">
        <v>999.9</v>
      </c>
      <c r="EQ63">
        <v>54.6</v>
      </c>
      <c r="ER63">
        <v>25.5</v>
      </c>
      <c r="ES63">
        <v>17.6224</v>
      </c>
      <c r="ET63">
        <v>61.4264</v>
      </c>
      <c r="EU63">
        <v>26.23</v>
      </c>
      <c r="EV63">
        <v>2</v>
      </c>
      <c r="EW63">
        <v>-0.460783</v>
      </c>
      <c r="EX63">
        <v>0</v>
      </c>
      <c r="EY63">
        <v>20.2921</v>
      </c>
      <c r="EZ63">
        <v>5.2113</v>
      </c>
      <c r="FA63">
        <v>11.968</v>
      </c>
      <c r="FB63">
        <v>4.9906</v>
      </c>
      <c r="FC63">
        <v>3.2713</v>
      </c>
      <c r="FD63">
        <v>2884.5</v>
      </c>
      <c r="FE63">
        <v>9999</v>
      </c>
      <c r="FF63">
        <v>9999</v>
      </c>
      <c r="FG63">
        <v>999.9</v>
      </c>
      <c r="FH63">
        <v>4.97258</v>
      </c>
      <c r="FI63">
        <v>1.86263</v>
      </c>
      <c r="FJ63">
        <v>1.86433</v>
      </c>
      <c r="FK63">
        <v>1.86279</v>
      </c>
      <c r="FL63">
        <v>1.86279</v>
      </c>
      <c r="FM63">
        <v>1.8634</v>
      </c>
      <c r="FN63">
        <v>1.85989</v>
      </c>
      <c r="FO63">
        <v>1.86265</v>
      </c>
      <c r="FP63">
        <v>0</v>
      </c>
      <c r="FQ63">
        <v>0</v>
      </c>
      <c r="FR63">
        <v>0</v>
      </c>
      <c r="FS63">
        <v>0</v>
      </c>
      <c r="FT63" t="s">
        <v>356</v>
      </c>
      <c r="FU63" t="s">
        <v>357</v>
      </c>
      <c r="FV63" t="s">
        <v>358</v>
      </c>
      <c r="FW63" t="s">
        <v>358</v>
      </c>
      <c r="FX63" t="s">
        <v>358</v>
      </c>
      <c r="FY63" t="s">
        <v>358</v>
      </c>
      <c r="FZ63">
        <v>0</v>
      </c>
      <c r="GA63">
        <v>100</v>
      </c>
      <c r="GB63">
        <v>100</v>
      </c>
      <c r="GC63">
        <v>2.083</v>
      </c>
      <c r="GD63">
        <v>0.1286</v>
      </c>
      <c r="GE63">
        <v>2.254837593686474</v>
      </c>
      <c r="GF63">
        <v>-0.001033730503750798</v>
      </c>
      <c r="GG63">
        <v>9.120241388950126E-07</v>
      </c>
      <c r="GH63">
        <v>-2.246115299815222E-10</v>
      </c>
      <c r="GI63">
        <v>-0.02015902148970845</v>
      </c>
      <c r="GJ63">
        <v>-0.01814858093373864</v>
      </c>
      <c r="GK63">
        <v>0.002091959988359369</v>
      </c>
      <c r="GL63">
        <v>-1.90871700788604E-05</v>
      </c>
      <c r="GM63">
        <v>2</v>
      </c>
      <c r="GN63">
        <v>2210</v>
      </c>
      <c r="GO63">
        <v>1</v>
      </c>
      <c r="GP63">
        <v>26</v>
      </c>
      <c r="GQ63">
        <v>1.4</v>
      </c>
      <c r="GR63">
        <v>6.6</v>
      </c>
      <c r="GS63">
        <v>1.26343</v>
      </c>
      <c r="GT63">
        <v>2.3877</v>
      </c>
      <c r="GU63">
        <v>2.34741</v>
      </c>
      <c r="GV63">
        <v>2.75024</v>
      </c>
      <c r="GW63">
        <v>2.39868</v>
      </c>
      <c r="GX63">
        <v>2.26196</v>
      </c>
      <c r="GY63">
        <v>29.7724</v>
      </c>
      <c r="GZ63">
        <v>12.8537</v>
      </c>
      <c r="HA63">
        <v>18</v>
      </c>
      <c r="HB63">
        <v>803.948</v>
      </c>
      <c r="HC63">
        <v>656.677</v>
      </c>
      <c r="HD63">
        <v>22.4714</v>
      </c>
      <c r="HE63">
        <v>21.4043</v>
      </c>
      <c r="HF63">
        <v>30.0001</v>
      </c>
      <c r="HG63">
        <v>21.2656</v>
      </c>
      <c r="HH63">
        <v>21.2223</v>
      </c>
      <c r="HI63">
        <v>25.3347</v>
      </c>
      <c r="HJ63">
        <v>25.0187</v>
      </c>
      <c r="HK63">
        <v>7.13231</v>
      </c>
      <c r="HL63">
        <v>-999.9</v>
      </c>
      <c r="HM63">
        <v>405</v>
      </c>
      <c r="HN63">
        <v>14.0245</v>
      </c>
      <c r="HO63">
        <v>100.917</v>
      </c>
      <c r="HP63">
        <v>101.256</v>
      </c>
    </row>
    <row r="64" spans="1:224">
      <c r="A64">
        <v>48</v>
      </c>
      <c r="B64">
        <v>1750703331.5</v>
      </c>
      <c r="C64">
        <v>8468.400000095367</v>
      </c>
      <c r="D64" t="s">
        <v>495</v>
      </c>
      <c r="E64" t="s">
        <v>496</v>
      </c>
      <c r="F64">
        <v>15</v>
      </c>
      <c r="G64">
        <v>1750703323.5</v>
      </c>
      <c r="H64">
        <f>(I64)/1000</f>
        <v>0</v>
      </c>
      <c r="I64">
        <f>IF(BD64, AL64, AF64)</f>
        <v>0</v>
      </c>
      <c r="J64">
        <f>IF(BD64, AG64, AE64)</f>
        <v>0</v>
      </c>
      <c r="K64">
        <f>BF64 - IF(AS64&gt;1, J64*AZ64*100.0/(AU64), 0)</f>
        <v>0</v>
      </c>
      <c r="L64">
        <f>((R64-H64/2)*K64-J64)/(R64+H64/2)</f>
        <v>0</v>
      </c>
      <c r="M64">
        <f>L64*(BM64+BN64)/1000.0</f>
        <v>0</v>
      </c>
      <c r="N64">
        <f>(BF64 - IF(AS64&gt;1, J64*AZ64*100.0/(AU64), 0))*(BM64+BN64)/1000.0</f>
        <v>0</v>
      </c>
      <c r="O64">
        <f>2.0/((1/Q64-1/P64)+SIGN(Q64)*SQRT((1/Q64-1/P64)*(1/Q64-1/P64) + 4*BA64/((BA64+1)*(BA64+1))*(2*1/Q64*1/P64-1/P64*1/P64)))</f>
        <v>0</v>
      </c>
      <c r="P64">
        <f>IF(LEFT(BB64,1)&lt;&gt;"0",IF(LEFT(BB64,1)="1",3.0,BC64),$D$5+$E$5*(BT64*BM64/($K$5*1000))+$F$5*(BT64*BM64/($K$5*1000))*MAX(MIN(AZ64,$J$5),$I$5)*MAX(MIN(AZ64,$J$5),$I$5)+$G$5*MAX(MIN(AZ64,$J$5),$I$5)*(BT64*BM64/($K$5*1000))+$H$5*(BT64*BM64/($K$5*1000))*(BT64*BM64/($K$5*1000)))</f>
        <v>0</v>
      </c>
      <c r="Q64">
        <f>H64*(1000-(1000*0.61365*exp(17.502*U64/(240.97+U64))/(BM64+BN64)+BH64)/2)/(1000*0.61365*exp(17.502*U64/(240.97+U64))/(BM64+BN64)-BH64)</f>
        <v>0</v>
      </c>
      <c r="R64">
        <f>1/((BA64+1)/(O64/1.6)+1/(P64/1.37)) + BA64/((BA64+1)/(O64/1.6) + BA64/(P64/1.37))</f>
        <v>0</v>
      </c>
      <c r="S64">
        <f>(AV64*AY64)</f>
        <v>0</v>
      </c>
      <c r="T64">
        <f>(BO64+(S64+2*0.95*5.67E-8*(((BO64+$B$7)+273)^4-(BO64+273)^4)-44100*H64)/(1.84*29.3*P64+8*0.95*5.67E-8*(BO64+273)^3))</f>
        <v>0</v>
      </c>
      <c r="U64">
        <f>($C$7*BP64+$D$7*BQ64+$E$7*T64)</f>
        <v>0</v>
      </c>
      <c r="V64">
        <f>0.61365*exp(17.502*U64/(240.97+U64))</f>
        <v>0</v>
      </c>
      <c r="W64">
        <f>(X64/Y64*100)</f>
        <v>0</v>
      </c>
      <c r="X64">
        <f>BH64*(BM64+BN64)/1000</f>
        <v>0</v>
      </c>
      <c r="Y64">
        <f>0.61365*exp(17.502*BO64/(240.97+BO64))</f>
        <v>0</v>
      </c>
      <c r="Z64">
        <f>(V64-BH64*(BM64+BN64)/1000)</f>
        <v>0</v>
      </c>
      <c r="AA64">
        <f>(-H64*44100)</f>
        <v>0</v>
      </c>
      <c r="AB64">
        <f>2*29.3*P64*0.92*(BO64-U64)</f>
        <v>0</v>
      </c>
      <c r="AC64">
        <f>2*0.95*5.67E-8*(((BO64+$B$7)+273)^4-(U64+273)^4)</f>
        <v>0</v>
      </c>
      <c r="AD64">
        <f>S64+AC64+AA64+AB64</f>
        <v>0</v>
      </c>
      <c r="AE64">
        <f>BL64*AS64*(BG64-BF64*(1000-AS64*BI64)/(1000-AS64*BH64))/(100*AZ64)</f>
        <v>0</v>
      </c>
      <c r="AF64">
        <f>1000*BL64*AS64*(BH64-BI64)/(100*AZ64*(1000-AS64*BH64))</f>
        <v>0</v>
      </c>
      <c r="AG64">
        <f>(AH64 - AI64 - BM64*1E3/(8.314*(BO64+273.15)) * AK64/BL64 * AJ64) * BL64/(100*AZ64) * (1000 - BI64)/1000</f>
        <v>0</v>
      </c>
      <c r="AH64">
        <v>410.8597976632014</v>
      </c>
      <c r="AI64">
        <v>460.2383333333335</v>
      </c>
      <c r="AJ64">
        <v>-0.001780767707663788</v>
      </c>
      <c r="AK64">
        <v>66.95316897438951</v>
      </c>
      <c r="AL64">
        <f>(AN64 - AM64 + BM64*1E3/(8.314*(BO64+273.15)) * AP64/BL64 * AO64) * BL64/(100*AZ64) * 1000/(1000 - AN64)</f>
        <v>0</v>
      </c>
      <c r="AM64">
        <v>14.31325247163913</v>
      </c>
      <c r="AN64">
        <v>14.98421636363636</v>
      </c>
      <c r="AO64">
        <v>1.896566664307719E-05</v>
      </c>
      <c r="AP64">
        <v>79.18451140538092</v>
      </c>
      <c r="AQ64">
        <v>801</v>
      </c>
      <c r="AR64">
        <v>100</v>
      </c>
      <c r="AS64">
        <f>IF(AQ64*$H$13&gt;=AU64,1.0,(AU64/(AU64-AQ64*$H$13)))</f>
        <v>0</v>
      </c>
      <c r="AT64">
        <f>(AS64-1)*100</f>
        <v>0</v>
      </c>
      <c r="AU64">
        <f>MAX(0,($B$13+$C$13*BT64)/(1+$D$13*BT64)*BM64/(BO64+273)*$E$13)</f>
        <v>0</v>
      </c>
      <c r="AV64">
        <f>$B$11*BU64+$C$11*BV64+$F$11*CG64*(1-CJ64)</f>
        <v>0</v>
      </c>
      <c r="AW64">
        <f>AV64*AX64</f>
        <v>0</v>
      </c>
      <c r="AX64">
        <f>($B$11*$D$9+$C$11*$D$9+$F$11*((CT64+CL64)/MAX(CT64+CL64+CU64, 0.1)*$I$9+CU64/MAX(CT64+CL64+CU64, 0.1)*$J$9))/($B$11+$C$11+$F$11)</f>
        <v>0</v>
      </c>
      <c r="AY64">
        <f>($B$11*$K$9+$C$11*$K$9+$F$11*((CT64+CL64)/MAX(CT64+CL64+CU64, 0.1)*$P$9+CU64/MAX(CT64+CL64+CU64, 0.1)*$Q$9))/($B$11+$C$11+$F$11)</f>
        <v>0</v>
      </c>
      <c r="AZ64">
        <v>6</v>
      </c>
      <c r="BA64">
        <v>0.5</v>
      </c>
      <c r="BB64" t="s">
        <v>353</v>
      </c>
      <c r="BC64">
        <v>2</v>
      </c>
      <c r="BD64" t="b">
        <v>0</v>
      </c>
      <c r="BE64">
        <v>1750703323.5</v>
      </c>
      <c r="BF64">
        <v>453.3035161290322</v>
      </c>
      <c r="BG64">
        <v>404.9935483870967</v>
      </c>
      <c r="BH64">
        <v>14.9561</v>
      </c>
      <c r="BI64">
        <v>14.30945806451613</v>
      </c>
      <c r="BJ64">
        <v>451.2385483870968</v>
      </c>
      <c r="BK64">
        <v>14.8701</v>
      </c>
      <c r="BL64">
        <v>799.9668709677419</v>
      </c>
      <c r="BM64">
        <v>101.4878064516129</v>
      </c>
      <c r="BN64">
        <v>0.05998481612903226</v>
      </c>
      <c r="BO64">
        <v>23.43617419354839</v>
      </c>
      <c r="BP64">
        <v>22.55133870967742</v>
      </c>
      <c r="BQ64">
        <v>999.9000000000003</v>
      </c>
      <c r="BR64">
        <v>0</v>
      </c>
      <c r="BS64">
        <v>0</v>
      </c>
      <c r="BT64">
        <v>10003.2935483871</v>
      </c>
      <c r="BU64">
        <v>0</v>
      </c>
      <c r="BV64">
        <v>0.00152894</v>
      </c>
      <c r="BW64">
        <v>48.30998064516129</v>
      </c>
      <c r="BX64">
        <v>460.1972258064516</v>
      </c>
      <c r="BY64">
        <v>410.8728387096775</v>
      </c>
      <c r="BZ64">
        <v>0.6704210967741936</v>
      </c>
      <c r="CA64">
        <v>404.9935483870967</v>
      </c>
      <c r="CB64">
        <v>14.30945806451613</v>
      </c>
      <c r="CC64">
        <v>1.520276129032258</v>
      </c>
      <c r="CD64">
        <v>1.452236129032258</v>
      </c>
      <c r="CE64">
        <v>13.17363225806452</v>
      </c>
      <c r="CF64">
        <v>12.47433548387097</v>
      </c>
      <c r="CG64">
        <v>999.9859999999999</v>
      </c>
      <c r="CH64">
        <v>0.9600147419354842</v>
      </c>
      <c r="CI64">
        <v>0.03998492903225805</v>
      </c>
      <c r="CJ64">
        <v>0</v>
      </c>
      <c r="CK64">
        <v>1.616935483870968</v>
      </c>
      <c r="CL64">
        <v>0</v>
      </c>
      <c r="CM64">
        <v>6553.703870967742</v>
      </c>
      <c r="CN64">
        <v>7946.86193548387</v>
      </c>
      <c r="CO64">
        <v>36.83848387096774</v>
      </c>
      <c r="CP64">
        <v>39.9292258064516</v>
      </c>
      <c r="CQ64">
        <v>38.24367741935482</v>
      </c>
      <c r="CR64">
        <v>39.04609677419353</v>
      </c>
      <c r="CS64">
        <v>36.92716129032258</v>
      </c>
      <c r="CT64">
        <v>960.0016129032258</v>
      </c>
      <c r="CU64">
        <v>39.98387096774194</v>
      </c>
      <c r="CV64">
        <v>0</v>
      </c>
      <c r="CW64">
        <v>1750703348.6</v>
      </c>
      <c r="CX64">
        <v>0</v>
      </c>
      <c r="CY64">
        <v>1750703352</v>
      </c>
      <c r="CZ64" t="s">
        <v>497</v>
      </c>
      <c r="DA64">
        <v>1750703231.5</v>
      </c>
      <c r="DB64">
        <v>1750703352</v>
      </c>
      <c r="DC64">
        <v>44</v>
      </c>
      <c r="DD64">
        <v>0.111</v>
      </c>
      <c r="DE64">
        <v>-0.004</v>
      </c>
      <c r="DF64">
        <v>2.083</v>
      </c>
      <c r="DG64">
        <v>0.08599999999999999</v>
      </c>
      <c r="DH64">
        <v>405</v>
      </c>
      <c r="DI64">
        <v>14</v>
      </c>
      <c r="DJ64">
        <v>0.18</v>
      </c>
      <c r="DK64">
        <v>0.15</v>
      </c>
      <c r="DL64">
        <v>48.289165</v>
      </c>
      <c r="DM64">
        <v>0.358158348968028</v>
      </c>
      <c r="DN64">
        <v>0.03932819948840779</v>
      </c>
      <c r="DO64">
        <v>0</v>
      </c>
      <c r="DP64">
        <v>0.6700712249999999</v>
      </c>
      <c r="DQ64">
        <v>0.004135688555346415</v>
      </c>
      <c r="DR64">
        <v>0.0006753848712956225</v>
      </c>
      <c r="DS64">
        <v>1</v>
      </c>
      <c r="DT64">
        <v>1</v>
      </c>
      <c r="DU64">
        <v>2</v>
      </c>
      <c r="DV64" t="s">
        <v>355</v>
      </c>
      <c r="DW64">
        <v>3.44789</v>
      </c>
      <c r="DX64">
        <v>2.74166</v>
      </c>
      <c r="DY64">
        <v>0.106839</v>
      </c>
      <c r="DZ64">
        <v>0.09846679999999999</v>
      </c>
      <c r="EA64">
        <v>0.085691</v>
      </c>
      <c r="EB64">
        <v>0.0826723</v>
      </c>
      <c r="EC64">
        <v>27028.7</v>
      </c>
      <c r="ED64">
        <v>31046.5</v>
      </c>
      <c r="EE64">
        <v>29385.1</v>
      </c>
      <c r="EF64">
        <v>35015.8</v>
      </c>
      <c r="EG64">
        <v>31075.9</v>
      </c>
      <c r="EH64">
        <v>39898.8</v>
      </c>
      <c r="EI64">
        <v>36179.6</v>
      </c>
      <c r="EJ64">
        <v>46380.9</v>
      </c>
      <c r="EK64">
        <v>0.28</v>
      </c>
      <c r="EL64">
        <v>2.28855</v>
      </c>
      <c r="EM64">
        <v>0.06143</v>
      </c>
      <c r="EN64">
        <v>0</v>
      </c>
      <c r="EO64">
        <v>21.5563</v>
      </c>
      <c r="EP64">
        <v>999.9</v>
      </c>
      <c r="EQ64">
        <v>54.6</v>
      </c>
      <c r="ER64">
        <v>25.5</v>
      </c>
      <c r="ES64">
        <v>17.6225</v>
      </c>
      <c r="ET64">
        <v>61.6464</v>
      </c>
      <c r="EU64">
        <v>23.766</v>
      </c>
      <c r="EV64">
        <v>2</v>
      </c>
      <c r="EW64">
        <v>-0.453958</v>
      </c>
      <c r="EX64">
        <v>0</v>
      </c>
      <c r="EY64">
        <v>20.2949</v>
      </c>
      <c r="EZ64">
        <v>5.21504</v>
      </c>
      <c r="FA64">
        <v>11.9686</v>
      </c>
      <c r="FB64">
        <v>4.9928</v>
      </c>
      <c r="FC64">
        <v>3.272</v>
      </c>
      <c r="FD64">
        <v>2888.4</v>
      </c>
      <c r="FE64">
        <v>9999</v>
      </c>
      <c r="FF64">
        <v>9999</v>
      </c>
      <c r="FG64">
        <v>999.9</v>
      </c>
      <c r="FH64">
        <v>4.97256</v>
      </c>
      <c r="FI64">
        <v>1.86261</v>
      </c>
      <c r="FJ64">
        <v>1.86435</v>
      </c>
      <c r="FK64">
        <v>1.86279</v>
      </c>
      <c r="FL64">
        <v>1.86279</v>
      </c>
      <c r="FM64">
        <v>1.8634</v>
      </c>
      <c r="FN64">
        <v>1.85987</v>
      </c>
      <c r="FO64">
        <v>1.86267</v>
      </c>
      <c r="FP64">
        <v>0</v>
      </c>
      <c r="FQ64">
        <v>0</v>
      </c>
      <c r="FR64">
        <v>0</v>
      </c>
      <c r="FS64">
        <v>0</v>
      </c>
      <c r="FT64" t="s">
        <v>356</v>
      </c>
      <c r="FU64" t="s">
        <v>357</v>
      </c>
      <c r="FV64" t="s">
        <v>358</v>
      </c>
      <c r="FW64" t="s">
        <v>358</v>
      </c>
      <c r="FX64" t="s">
        <v>358</v>
      </c>
      <c r="FY64" t="s">
        <v>358</v>
      </c>
      <c r="FZ64">
        <v>0</v>
      </c>
      <c r="GA64">
        <v>100</v>
      </c>
      <c r="GB64">
        <v>100</v>
      </c>
      <c r="GC64">
        <v>2.064</v>
      </c>
      <c r="GD64">
        <v>0.08599999999999999</v>
      </c>
      <c r="GE64">
        <v>2.366309395649701</v>
      </c>
      <c r="GF64">
        <v>-0.001033730503750798</v>
      </c>
      <c r="GG64">
        <v>9.120241388950126E-07</v>
      </c>
      <c r="GH64">
        <v>-2.246115299815222E-10</v>
      </c>
      <c r="GI64">
        <v>-0.02015902148970845</v>
      </c>
      <c r="GJ64">
        <v>-0.01814858093373864</v>
      </c>
      <c r="GK64">
        <v>0.002091959988359369</v>
      </c>
      <c r="GL64">
        <v>-1.90871700788604E-05</v>
      </c>
      <c r="GM64">
        <v>2</v>
      </c>
      <c r="GN64">
        <v>2210</v>
      </c>
      <c r="GO64">
        <v>1</v>
      </c>
      <c r="GP64">
        <v>26</v>
      </c>
      <c r="GQ64">
        <v>1.7</v>
      </c>
      <c r="GR64">
        <v>8.6</v>
      </c>
      <c r="GS64">
        <v>1.26343</v>
      </c>
      <c r="GT64">
        <v>2.39502</v>
      </c>
      <c r="GU64">
        <v>2.34741</v>
      </c>
      <c r="GV64">
        <v>2.75024</v>
      </c>
      <c r="GW64">
        <v>2.39868</v>
      </c>
      <c r="GX64">
        <v>2.25098</v>
      </c>
      <c r="GY64">
        <v>29.8364</v>
      </c>
      <c r="GZ64">
        <v>12.8011</v>
      </c>
      <c r="HA64">
        <v>18</v>
      </c>
      <c r="HB64">
        <v>-2.8977</v>
      </c>
      <c r="HC64">
        <v>657.495</v>
      </c>
      <c r="HD64">
        <v>22.5585</v>
      </c>
      <c r="HE64">
        <v>21.4918</v>
      </c>
      <c r="HF64">
        <v>30.0004</v>
      </c>
      <c r="HG64">
        <v>21.5292</v>
      </c>
      <c r="HH64">
        <v>21.3027</v>
      </c>
      <c r="HI64">
        <v>25.3423</v>
      </c>
      <c r="HJ64">
        <v>23.8656</v>
      </c>
      <c r="HK64">
        <v>7.30506</v>
      </c>
      <c r="HL64">
        <v>-999.9</v>
      </c>
      <c r="HM64">
        <v>405</v>
      </c>
      <c r="HN64">
        <v>14.2816</v>
      </c>
      <c r="HO64">
        <v>100.902</v>
      </c>
      <c r="HP64">
        <v>101.245</v>
      </c>
    </row>
    <row r="65" spans="1:224">
      <c r="A65">
        <v>49</v>
      </c>
      <c r="B65">
        <v>1750703504.5</v>
      </c>
      <c r="C65">
        <v>8641.400000095367</v>
      </c>
      <c r="D65" t="s">
        <v>498</v>
      </c>
      <c r="E65" t="s">
        <v>499</v>
      </c>
      <c r="F65">
        <v>15</v>
      </c>
      <c r="G65">
        <v>1750703496.75</v>
      </c>
      <c r="H65">
        <f>(I65)/1000</f>
        <v>0</v>
      </c>
      <c r="I65">
        <f>IF(BD65, AL65, AF65)</f>
        <v>0</v>
      </c>
      <c r="J65">
        <f>IF(BD65, AG65, AE65)</f>
        <v>0</v>
      </c>
      <c r="K65">
        <f>BF65 - IF(AS65&gt;1, J65*AZ65*100.0/(AU65), 0)</f>
        <v>0</v>
      </c>
      <c r="L65">
        <f>((R65-H65/2)*K65-J65)/(R65+H65/2)</f>
        <v>0</v>
      </c>
      <c r="M65">
        <f>L65*(BM65+BN65)/1000.0</f>
        <v>0</v>
      </c>
      <c r="N65">
        <f>(BF65 - IF(AS65&gt;1, J65*AZ65*100.0/(AU65), 0))*(BM65+BN65)/1000.0</f>
        <v>0</v>
      </c>
      <c r="O65">
        <f>2.0/((1/Q65-1/P65)+SIGN(Q65)*SQRT((1/Q65-1/P65)*(1/Q65-1/P65) + 4*BA65/((BA65+1)*(BA65+1))*(2*1/Q65*1/P65-1/P65*1/P65)))</f>
        <v>0</v>
      </c>
      <c r="P65">
        <f>IF(LEFT(BB65,1)&lt;&gt;"0",IF(LEFT(BB65,1)="1",3.0,BC65),$D$5+$E$5*(BT65*BM65/($K$5*1000))+$F$5*(BT65*BM65/($K$5*1000))*MAX(MIN(AZ65,$J$5),$I$5)*MAX(MIN(AZ65,$J$5),$I$5)+$G$5*MAX(MIN(AZ65,$J$5),$I$5)*(BT65*BM65/($K$5*1000))+$H$5*(BT65*BM65/($K$5*1000))*(BT65*BM65/($K$5*1000)))</f>
        <v>0</v>
      </c>
      <c r="Q65">
        <f>H65*(1000-(1000*0.61365*exp(17.502*U65/(240.97+U65))/(BM65+BN65)+BH65)/2)/(1000*0.61365*exp(17.502*U65/(240.97+U65))/(BM65+BN65)-BH65)</f>
        <v>0</v>
      </c>
      <c r="R65">
        <f>1/((BA65+1)/(O65/1.6)+1/(P65/1.37)) + BA65/((BA65+1)/(O65/1.6) + BA65/(P65/1.37))</f>
        <v>0</v>
      </c>
      <c r="S65">
        <f>(AV65*AY65)</f>
        <v>0</v>
      </c>
      <c r="T65">
        <f>(BO65+(S65+2*0.95*5.67E-8*(((BO65+$B$7)+273)^4-(BO65+273)^4)-44100*H65)/(1.84*29.3*P65+8*0.95*5.67E-8*(BO65+273)^3))</f>
        <v>0</v>
      </c>
      <c r="U65">
        <f>($C$7*BP65+$D$7*BQ65+$E$7*T65)</f>
        <v>0</v>
      </c>
      <c r="V65">
        <f>0.61365*exp(17.502*U65/(240.97+U65))</f>
        <v>0</v>
      </c>
      <c r="W65">
        <f>(X65/Y65*100)</f>
        <v>0</v>
      </c>
      <c r="X65">
        <f>BH65*(BM65+BN65)/1000</f>
        <v>0</v>
      </c>
      <c r="Y65">
        <f>0.61365*exp(17.502*BO65/(240.97+BO65))</f>
        <v>0</v>
      </c>
      <c r="Z65">
        <f>(V65-BH65*(BM65+BN65)/1000)</f>
        <v>0</v>
      </c>
      <c r="AA65">
        <f>(-H65*44100)</f>
        <v>0</v>
      </c>
      <c r="AB65">
        <f>2*29.3*P65*0.92*(BO65-U65)</f>
        <v>0</v>
      </c>
      <c r="AC65">
        <f>2*0.95*5.67E-8*(((BO65+$B$7)+273)^4-(U65+273)^4)</f>
        <v>0</v>
      </c>
      <c r="AD65">
        <f>S65+AC65+AA65+AB65</f>
        <v>0</v>
      </c>
      <c r="AE65">
        <f>BL65*AS65*(BG65-BF65*(1000-AS65*BI65)/(1000-AS65*BH65))/(100*AZ65)</f>
        <v>0</v>
      </c>
      <c r="AF65">
        <f>1000*BL65*AS65*(BH65-BI65)/(100*AZ65*(1000-AS65*BH65))</f>
        <v>0</v>
      </c>
      <c r="AG65">
        <f>(AH65 - AI65 - BM65*1E3/(8.314*(BO65+273.15)) * AK65/BL65 * AJ65) * BL65/(100*AZ65) * (1000 - BI65)/1000</f>
        <v>0</v>
      </c>
      <c r="AH65">
        <v>409.8036987356627</v>
      </c>
      <c r="AI65">
        <v>406.3040303030303</v>
      </c>
      <c r="AJ65">
        <v>2.821601897775298E-05</v>
      </c>
      <c r="AK65">
        <v>66.95704110275446</v>
      </c>
      <c r="AL65">
        <f>(AN65 - AM65 + BM65*1E3/(8.314*(BO65+273.15)) * AP65/BL65 * AO65) * BL65/(100*AZ65) * 1000/(1000 - AN65)</f>
        <v>0</v>
      </c>
      <c r="AM65">
        <v>11.88638077957334</v>
      </c>
      <c r="AN65">
        <v>15.51265151515151</v>
      </c>
      <c r="AO65">
        <v>0.006256617160637645</v>
      </c>
      <c r="AP65">
        <v>79.22731679873407</v>
      </c>
      <c r="AQ65">
        <v>0</v>
      </c>
      <c r="AR65">
        <v>0</v>
      </c>
      <c r="AS65">
        <f>IF(AQ65*$H$13&gt;=AU65,1.0,(AU65/(AU65-AQ65*$H$13)))</f>
        <v>0</v>
      </c>
      <c r="AT65">
        <f>(AS65-1)*100</f>
        <v>0</v>
      </c>
      <c r="AU65">
        <f>MAX(0,($B$13+$C$13*BT65)/(1+$D$13*BT65)*BM65/(BO65+273)*$E$13)</f>
        <v>0</v>
      </c>
      <c r="AV65">
        <f>$B$11*BU65+$C$11*BV65+$F$11*CG65*(1-CJ65)</f>
        <v>0</v>
      </c>
      <c r="AW65">
        <f>AV65*AX65</f>
        <v>0</v>
      </c>
      <c r="AX65">
        <f>($B$11*$D$9+$C$11*$D$9+$F$11*((CT65+CL65)/MAX(CT65+CL65+CU65, 0.1)*$I$9+CU65/MAX(CT65+CL65+CU65, 0.1)*$J$9))/($B$11+$C$11+$F$11)</f>
        <v>0</v>
      </c>
      <c r="AY65">
        <f>($B$11*$K$9+$C$11*$K$9+$F$11*((CT65+CL65)/MAX(CT65+CL65+CU65, 0.1)*$P$9+CU65/MAX(CT65+CL65+CU65, 0.1)*$Q$9))/($B$11+$C$11+$F$11)</f>
        <v>0</v>
      </c>
      <c r="AZ65">
        <v>6</v>
      </c>
      <c r="BA65">
        <v>0.5</v>
      </c>
      <c r="BB65" t="s">
        <v>353</v>
      </c>
      <c r="BC65">
        <v>2</v>
      </c>
      <c r="BD65" t="b">
        <v>0</v>
      </c>
      <c r="BE65">
        <v>1750703496.75</v>
      </c>
      <c r="BF65">
        <v>399.9412666666666</v>
      </c>
      <c r="BG65">
        <v>404.9393666666666</v>
      </c>
      <c r="BH65">
        <v>15.46501333333333</v>
      </c>
      <c r="BI65">
        <v>11.81734</v>
      </c>
      <c r="BJ65">
        <v>397.9172666666666</v>
      </c>
      <c r="BK65">
        <v>15.34424333333333</v>
      </c>
      <c r="BL65">
        <v>800.0267000000001</v>
      </c>
      <c r="BM65">
        <v>101.4932666666667</v>
      </c>
      <c r="BN65">
        <v>0.1000794033333333</v>
      </c>
      <c r="BO65">
        <v>23.45146333333333</v>
      </c>
      <c r="BP65">
        <v>20.84242666666667</v>
      </c>
      <c r="BQ65">
        <v>999.9000000000002</v>
      </c>
      <c r="BR65">
        <v>0</v>
      </c>
      <c r="BS65">
        <v>0</v>
      </c>
      <c r="BT65">
        <v>10000.43666666667</v>
      </c>
      <c r="BU65">
        <v>0</v>
      </c>
      <c r="BV65">
        <v>0.00152894</v>
      </c>
      <c r="BW65">
        <v>-4.936921666666666</v>
      </c>
      <c r="BX65">
        <v>406.2856666666667</v>
      </c>
      <c r="BY65">
        <v>409.7819333333333</v>
      </c>
      <c r="BZ65">
        <v>3.647691</v>
      </c>
      <c r="CA65">
        <v>404.9393666666666</v>
      </c>
      <c r="CB65">
        <v>11.81734</v>
      </c>
      <c r="CC65">
        <v>1.569595</v>
      </c>
      <c r="CD65">
        <v>1.199378333333333</v>
      </c>
      <c r="CE65">
        <v>13.66347666666667</v>
      </c>
      <c r="CF65">
        <v>9.593618999999999</v>
      </c>
      <c r="CG65">
        <v>1000.0349</v>
      </c>
      <c r="CH65">
        <v>0.9599980333333334</v>
      </c>
      <c r="CI65">
        <v>0.04000202333333334</v>
      </c>
      <c r="CJ65">
        <v>0</v>
      </c>
      <c r="CK65">
        <v>1.115833333333333</v>
      </c>
      <c r="CL65">
        <v>0</v>
      </c>
      <c r="CM65">
        <v>5912.556</v>
      </c>
      <c r="CN65">
        <v>7947.187000000001</v>
      </c>
      <c r="CO65">
        <v>38.26853333333332</v>
      </c>
      <c r="CP65">
        <v>41.54136666666665</v>
      </c>
      <c r="CQ65">
        <v>39.59143333333333</v>
      </c>
      <c r="CR65">
        <v>41.49969999999998</v>
      </c>
      <c r="CS65">
        <v>38.35183333333332</v>
      </c>
      <c r="CT65">
        <v>960.0343333333334</v>
      </c>
      <c r="CU65">
        <v>40.00033333333333</v>
      </c>
      <c r="CV65">
        <v>0</v>
      </c>
      <c r="CW65">
        <v>1750703521.4</v>
      </c>
      <c r="CX65">
        <v>0</v>
      </c>
      <c r="CY65">
        <v>1750703527.5</v>
      </c>
      <c r="CZ65" t="s">
        <v>500</v>
      </c>
      <c r="DA65">
        <v>1750703527.5</v>
      </c>
      <c r="DB65">
        <v>1750703352</v>
      </c>
      <c r="DC65">
        <v>45</v>
      </c>
      <c r="DD65">
        <v>-0.059</v>
      </c>
      <c r="DE65">
        <v>-0.004</v>
      </c>
      <c r="DF65">
        <v>2.024</v>
      </c>
      <c r="DG65">
        <v>0.08599999999999999</v>
      </c>
      <c r="DH65">
        <v>405</v>
      </c>
      <c r="DI65">
        <v>14</v>
      </c>
      <c r="DJ65">
        <v>0.64</v>
      </c>
      <c r="DK65">
        <v>0.15</v>
      </c>
      <c r="DL65">
        <v>-4.948238</v>
      </c>
      <c r="DM65">
        <v>0.3127087429643655</v>
      </c>
      <c r="DN65">
        <v>0.03587978492131749</v>
      </c>
      <c r="DO65">
        <v>0</v>
      </c>
      <c r="DP65">
        <v>3.692626</v>
      </c>
      <c r="DQ65">
        <v>-0.7466411257035785</v>
      </c>
      <c r="DR65">
        <v>0.07437349036451092</v>
      </c>
      <c r="DS65">
        <v>0</v>
      </c>
      <c r="DT65">
        <v>0</v>
      </c>
      <c r="DU65">
        <v>2</v>
      </c>
      <c r="DV65" t="s">
        <v>372</v>
      </c>
      <c r="DW65">
        <v>3.44679</v>
      </c>
      <c r="DX65">
        <v>2.78057</v>
      </c>
      <c r="DY65">
        <v>0.0971926</v>
      </c>
      <c r="DZ65">
        <v>0.0984081</v>
      </c>
      <c r="EA65">
        <v>0.0879051</v>
      </c>
      <c r="EB65">
        <v>0.07225520000000001</v>
      </c>
      <c r="EC65">
        <v>27312.2</v>
      </c>
      <c r="ED65">
        <v>31041.7</v>
      </c>
      <c r="EE65">
        <v>29377.1</v>
      </c>
      <c r="EF65">
        <v>35009</v>
      </c>
      <c r="EG65">
        <v>30990.4</v>
      </c>
      <c r="EH65">
        <v>40346</v>
      </c>
      <c r="EI65">
        <v>36169.2</v>
      </c>
      <c r="EJ65">
        <v>46372</v>
      </c>
      <c r="EK65">
        <v>2.54815</v>
      </c>
      <c r="EL65">
        <v>2.2778</v>
      </c>
      <c r="EM65">
        <v>-0.0497885</v>
      </c>
      <c r="EN65">
        <v>0</v>
      </c>
      <c r="EO65">
        <v>21.7103</v>
      </c>
      <c r="EP65">
        <v>999.9</v>
      </c>
      <c r="EQ65">
        <v>54.5</v>
      </c>
      <c r="ER65">
        <v>25.6</v>
      </c>
      <c r="ES65">
        <v>17.6947</v>
      </c>
      <c r="ET65">
        <v>61.6264</v>
      </c>
      <c r="EU65">
        <v>26.3301</v>
      </c>
      <c r="EV65">
        <v>2</v>
      </c>
      <c r="EW65">
        <v>-0.44125</v>
      </c>
      <c r="EX65">
        <v>0</v>
      </c>
      <c r="EY65">
        <v>20.2944</v>
      </c>
      <c r="EZ65">
        <v>5.21474</v>
      </c>
      <c r="FA65">
        <v>11.9695</v>
      </c>
      <c r="FB65">
        <v>4.99175</v>
      </c>
      <c r="FC65">
        <v>3.272</v>
      </c>
      <c r="FD65">
        <v>2893.6</v>
      </c>
      <c r="FE65">
        <v>9999</v>
      </c>
      <c r="FF65">
        <v>9999</v>
      </c>
      <c r="FG65">
        <v>999.9</v>
      </c>
      <c r="FH65">
        <v>4.97258</v>
      </c>
      <c r="FI65">
        <v>1.86263</v>
      </c>
      <c r="FJ65">
        <v>1.86436</v>
      </c>
      <c r="FK65">
        <v>1.86279</v>
      </c>
      <c r="FL65">
        <v>1.86279</v>
      </c>
      <c r="FM65">
        <v>1.8634</v>
      </c>
      <c r="FN65">
        <v>1.85989</v>
      </c>
      <c r="FO65">
        <v>1.86266</v>
      </c>
      <c r="FP65">
        <v>0</v>
      </c>
      <c r="FQ65">
        <v>0</v>
      </c>
      <c r="FR65">
        <v>0</v>
      </c>
      <c r="FS65">
        <v>0</v>
      </c>
      <c r="FT65" t="s">
        <v>356</v>
      </c>
      <c r="FU65" t="s">
        <v>357</v>
      </c>
      <c r="FV65" t="s">
        <v>358</v>
      </c>
      <c r="FW65" t="s">
        <v>358</v>
      </c>
      <c r="FX65" t="s">
        <v>358</v>
      </c>
      <c r="FY65" t="s">
        <v>358</v>
      </c>
      <c r="FZ65">
        <v>0</v>
      </c>
      <c r="GA65">
        <v>100</v>
      </c>
      <c r="GB65">
        <v>100</v>
      </c>
      <c r="GC65">
        <v>2.024</v>
      </c>
      <c r="GD65">
        <v>0.1224</v>
      </c>
      <c r="GE65">
        <v>2.366309395649701</v>
      </c>
      <c r="GF65">
        <v>-0.001033730503750798</v>
      </c>
      <c r="GG65">
        <v>9.120241388950126E-07</v>
      </c>
      <c r="GH65">
        <v>-2.246115299815222E-10</v>
      </c>
      <c r="GI65">
        <v>-0.02433843877209704</v>
      </c>
      <c r="GJ65">
        <v>-0.01814858093373864</v>
      </c>
      <c r="GK65">
        <v>0.002091959988359369</v>
      </c>
      <c r="GL65">
        <v>-1.90871700788604E-05</v>
      </c>
      <c r="GM65">
        <v>2</v>
      </c>
      <c r="GN65">
        <v>2210</v>
      </c>
      <c r="GO65">
        <v>1</v>
      </c>
      <c r="GP65">
        <v>26</v>
      </c>
      <c r="GQ65">
        <v>4.5</v>
      </c>
      <c r="GR65">
        <v>2.5</v>
      </c>
      <c r="GS65">
        <v>1.26099</v>
      </c>
      <c r="GT65">
        <v>2.39746</v>
      </c>
      <c r="GU65">
        <v>2.34863</v>
      </c>
      <c r="GV65">
        <v>2.74902</v>
      </c>
      <c r="GW65">
        <v>2.39868</v>
      </c>
      <c r="GX65">
        <v>2.26074</v>
      </c>
      <c r="GY65">
        <v>29.9433</v>
      </c>
      <c r="GZ65">
        <v>12.7048</v>
      </c>
      <c r="HA65">
        <v>18</v>
      </c>
      <c r="HB65">
        <v>805.269</v>
      </c>
      <c r="HC65">
        <v>650.8200000000001</v>
      </c>
      <c r="HD65">
        <v>22.642</v>
      </c>
      <c r="HE65">
        <v>21.6567</v>
      </c>
      <c r="HF65">
        <v>30.0004</v>
      </c>
      <c r="HG65">
        <v>21.4992</v>
      </c>
      <c r="HH65">
        <v>21.4512</v>
      </c>
      <c r="HI65">
        <v>25.2958</v>
      </c>
      <c r="HJ65">
        <v>34.9536</v>
      </c>
      <c r="HK65">
        <v>5.62805</v>
      </c>
      <c r="HL65">
        <v>-999.9</v>
      </c>
      <c r="HM65">
        <v>405</v>
      </c>
      <c r="HN65">
        <v>12.016</v>
      </c>
      <c r="HO65">
        <v>100.874</v>
      </c>
      <c r="HP65">
        <v>101.225</v>
      </c>
    </row>
    <row r="66" spans="1:224">
      <c r="A66">
        <v>50</v>
      </c>
      <c r="B66">
        <v>1750703625</v>
      </c>
      <c r="C66">
        <v>8761.900000095367</v>
      </c>
      <c r="D66" t="s">
        <v>501</v>
      </c>
      <c r="E66" t="s">
        <v>502</v>
      </c>
      <c r="F66">
        <v>15</v>
      </c>
      <c r="G66">
        <v>1750703617.25</v>
      </c>
      <c r="H66">
        <f>(I66)/1000</f>
        <v>0</v>
      </c>
      <c r="I66">
        <f>IF(BD66, AL66, AF66)</f>
        <v>0</v>
      </c>
      <c r="J66">
        <f>IF(BD66, AG66, AE66)</f>
        <v>0</v>
      </c>
      <c r="K66">
        <f>BF66 - IF(AS66&gt;1, J66*AZ66*100.0/(AU66), 0)</f>
        <v>0</v>
      </c>
      <c r="L66">
        <f>((R66-H66/2)*K66-J66)/(R66+H66/2)</f>
        <v>0</v>
      </c>
      <c r="M66">
        <f>L66*(BM66+BN66)/1000.0</f>
        <v>0</v>
      </c>
      <c r="N66">
        <f>(BF66 - IF(AS66&gt;1, J66*AZ66*100.0/(AU66), 0))*(BM66+BN66)/1000.0</f>
        <v>0</v>
      </c>
      <c r="O66">
        <f>2.0/((1/Q66-1/P66)+SIGN(Q66)*SQRT((1/Q66-1/P66)*(1/Q66-1/P66) + 4*BA66/((BA66+1)*(BA66+1))*(2*1/Q66*1/P66-1/P66*1/P66)))</f>
        <v>0</v>
      </c>
      <c r="P66">
        <f>IF(LEFT(BB66,1)&lt;&gt;"0",IF(LEFT(BB66,1)="1",3.0,BC66),$D$5+$E$5*(BT66*BM66/($K$5*1000))+$F$5*(BT66*BM66/($K$5*1000))*MAX(MIN(AZ66,$J$5),$I$5)*MAX(MIN(AZ66,$J$5),$I$5)+$G$5*MAX(MIN(AZ66,$J$5),$I$5)*(BT66*BM66/($K$5*1000))+$H$5*(BT66*BM66/($K$5*1000))*(BT66*BM66/($K$5*1000)))</f>
        <v>0</v>
      </c>
      <c r="Q66">
        <f>H66*(1000-(1000*0.61365*exp(17.502*U66/(240.97+U66))/(BM66+BN66)+BH66)/2)/(1000*0.61365*exp(17.502*U66/(240.97+U66))/(BM66+BN66)-BH66)</f>
        <v>0</v>
      </c>
      <c r="R66">
        <f>1/((BA66+1)/(O66/1.6)+1/(P66/1.37)) + BA66/((BA66+1)/(O66/1.6) + BA66/(P66/1.37))</f>
        <v>0</v>
      </c>
      <c r="S66">
        <f>(AV66*AY66)</f>
        <v>0</v>
      </c>
      <c r="T66">
        <f>(BO66+(S66+2*0.95*5.67E-8*(((BO66+$B$7)+273)^4-(BO66+273)^4)-44100*H66)/(1.84*29.3*P66+8*0.95*5.67E-8*(BO66+273)^3))</f>
        <v>0</v>
      </c>
      <c r="U66">
        <f>($C$7*BP66+$D$7*BQ66+$E$7*T66)</f>
        <v>0</v>
      </c>
      <c r="V66">
        <f>0.61365*exp(17.502*U66/(240.97+U66))</f>
        <v>0</v>
      </c>
      <c r="W66">
        <f>(X66/Y66*100)</f>
        <v>0</v>
      </c>
      <c r="X66">
        <f>BH66*(BM66+BN66)/1000</f>
        <v>0</v>
      </c>
      <c r="Y66">
        <f>0.61365*exp(17.502*BO66/(240.97+BO66))</f>
        <v>0</v>
      </c>
      <c r="Z66">
        <f>(V66-BH66*(BM66+BN66)/1000)</f>
        <v>0</v>
      </c>
      <c r="AA66">
        <f>(-H66*44100)</f>
        <v>0</v>
      </c>
      <c r="AB66">
        <f>2*29.3*P66*0.92*(BO66-U66)</f>
        <v>0</v>
      </c>
      <c r="AC66">
        <f>2*0.95*5.67E-8*(((BO66+$B$7)+273)^4-(U66+273)^4)</f>
        <v>0</v>
      </c>
      <c r="AD66">
        <f>S66+AC66+AA66+AB66</f>
        <v>0</v>
      </c>
      <c r="AE66">
        <f>BL66*AS66*(BG66-BF66*(1000-AS66*BI66)/(1000-AS66*BH66))/(100*AZ66)</f>
        <v>0</v>
      </c>
      <c r="AF66">
        <f>1000*BL66*AS66*(BH66-BI66)/(100*AZ66*(1000-AS66*BH66))</f>
        <v>0</v>
      </c>
      <c r="AG66">
        <f>(AH66 - AI66 - BM66*1E3/(8.314*(BO66+273.15)) * AK66/BL66 * AJ66) * BL66/(100*AZ66) * (1000 - BI66)/1000</f>
        <v>0</v>
      </c>
      <c r="AH66">
        <v>407.963127221662</v>
      </c>
      <c r="AI66">
        <v>404.5622727272728</v>
      </c>
      <c r="AJ66">
        <v>-0.0003507670371579079</v>
      </c>
      <c r="AK66">
        <v>66.95169320560925</v>
      </c>
      <c r="AL66">
        <f>(AN66 - AM66 + BM66*1E3/(8.314*(BO66+273.15)) * AP66/BL66 * AO66) * BL66/(100*AZ66) * 1000/(1000 - AN66)</f>
        <v>0</v>
      </c>
      <c r="AM66">
        <v>7.21259171598528</v>
      </c>
      <c r="AN66">
        <v>15.78544545454545</v>
      </c>
      <c r="AO66">
        <v>-0.007838377900183227</v>
      </c>
      <c r="AP66">
        <v>79.26710947276054</v>
      </c>
      <c r="AQ66">
        <v>196</v>
      </c>
      <c r="AR66">
        <v>25</v>
      </c>
      <c r="AS66">
        <f>IF(AQ66*$H$13&gt;=AU66,1.0,(AU66/(AU66-AQ66*$H$13)))</f>
        <v>0</v>
      </c>
      <c r="AT66">
        <f>(AS66-1)*100</f>
        <v>0</v>
      </c>
      <c r="AU66">
        <f>MAX(0,($B$13+$C$13*BT66)/(1+$D$13*BT66)*BM66/(BO66+273)*$E$13)</f>
        <v>0</v>
      </c>
      <c r="AV66">
        <f>$B$11*BU66+$C$11*BV66+$F$11*CG66*(1-CJ66)</f>
        <v>0</v>
      </c>
      <c r="AW66">
        <f>AV66*AX66</f>
        <v>0</v>
      </c>
      <c r="AX66">
        <f>($B$11*$D$9+$C$11*$D$9+$F$11*((CT66+CL66)/MAX(CT66+CL66+CU66, 0.1)*$I$9+CU66/MAX(CT66+CL66+CU66, 0.1)*$J$9))/($B$11+$C$11+$F$11)</f>
        <v>0</v>
      </c>
      <c r="AY66">
        <f>($B$11*$K$9+$C$11*$K$9+$F$11*((CT66+CL66)/MAX(CT66+CL66+CU66, 0.1)*$P$9+CU66/MAX(CT66+CL66+CU66, 0.1)*$Q$9))/($B$11+$C$11+$F$11)</f>
        <v>0</v>
      </c>
      <c r="AZ66">
        <v>6</v>
      </c>
      <c r="BA66">
        <v>0.5</v>
      </c>
      <c r="BB66" t="s">
        <v>353</v>
      </c>
      <c r="BC66">
        <v>2</v>
      </c>
      <c r="BD66" t="b">
        <v>0</v>
      </c>
      <c r="BE66">
        <v>1750703617.25</v>
      </c>
      <c r="BF66">
        <v>398.4061333333333</v>
      </c>
      <c r="BG66">
        <v>405.0238333333334</v>
      </c>
      <c r="BH66">
        <v>15.87253666666666</v>
      </c>
      <c r="BI66">
        <v>7.230488333333333</v>
      </c>
      <c r="BJ66">
        <v>396.1821333333334</v>
      </c>
      <c r="BK66">
        <v>15.73872666666667</v>
      </c>
      <c r="BL66">
        <v>800.0071666666668</v>
      </c>
      <c r="BM66">
        <v>101.4965333333333</v>
      </c>
      <c r="BN66">
        <v>0.1000732333333333</v>
      </c>
      <c r="BO66">
        <v>23.53612666666667</v>
      </c>
      <c r="BP66">
        <v>21.06681666666667</v>
      </c>
      <c r="BQ66">
        <v>999.9000000000002</v>
      </c>
      <c r="BR66">
        <v>0</v>
      </c>
      <c r="BS66">
        <v>0</v>
      </c>
      <c r="BT66">
        <v>9997.335666666668</v>
      </c>
      <c r="BU66">
        <v>0</v>
      </c>
      <c r="BV66">
        <v>0.00152894</v>
      </c>
      <c r="BW66">
        <v>-6.815030333333334</v>
      </c>
      <c r="BX66">
        <v>404.6313</v>
      </c>
      <c r="BY66">
        <v>407.9736333333333</v>
      </c>
      <c r="BZ66">
        <v>8.642050333333334</v>
      </c>
      <c r="CA66">
        <v>405.0238333333334</v>
      </c>
      <c r="CB66">
        <v>7.230488333333333</v>
      </c>
      <c r="CC66">
        <v>1.611006666666667</v>
      </c>
      <c r="CD66">
        <v>0.7338688333333334</v>
      </c>
      <c r="CE66">
        <v>14.06437</v>
      </c>
      <c r="CF66">
        <v>2.488601333333333</v>
      </c>
      <c r="CG66">
        <v>999.9768666666666</v>
      </c>
      <c r="CH66">
        <v>0.9599870666666666</v>
      </c>
      <c r="CI66">
        <v>0.04001320333333333</v>
      </c>
      <c r="CJ66">
        <v>0</v>
      </c>
      <c r="CK66">
        <v>1.515666666666667</v>
      </c>
      <c r="CL66">
        <v>0</v>
      </c>
      <c r="CM66">
        <v>7766.237</v>
      </c>
      <c r="CN66">
        <v>7946.679</v>
      </c>
      <c r="CO66">
        <v>37.13306666666666</v>
      </c>
      <c r="CP66">
        <v>39.33306666666666</v>
      </c>
      <c r="CQ66">
        <v>38.45399999999999</v>
      </c>
      <c r="CR66">
        <v>38.86226666666666</v>
      </c>
      <c r="CS66">
        <v>37.22473333333333</v>
      </c>
      <c r="CT66">
        <v>959.9666666666667</v>
      </c>
      <c r="CU66">
        <v>40.01033333333333</v>
      </c>
      <c r="CV66">
        <v>0</v>
      </c>
      <c r="CW66">
        <v>1750703642</v>
      </c>
      <c r="CX66">
        <v>0</v>
      </c>
      <c r="CY66">
        <v>1750703642</v>
      </c>
      <c r="CZ66" t="s">
        <v>503</v>
      </c>
      <c r="DA66">
        <v>1750703642</v>
      </c>
      <c r="DB66">
        <v>1750703352</v>
      </c>
      <c r="DC66">
        <v>46</v>
      </c>
      <c r="DD66">
        <v>0.2</v>
      </c>
      <c r="DE66">
        <v>-0.004</v>
      </c>
      <c r="DF66">
        <v>2.224</v>
      </c>
      <c r="DG66">
        <v>0.08599999999999999</v>
      </c>
      <c r="DH66">
        <v>405</v>
      </c>
      <c r="DI66">
        <v>14</v>
      </c>
      <c r="DJ66">
        <v>0.16</v>
      </c>
      <c r="DK66">
        <v>0.15</v>
      </c>
      <c r="DL66">
        <v>-6.797230243902439</v>
      </c>
      <c r="DM66">
        <v>-0.3976346341463532</v>
      </c>
      <c r="DN66">
        <v>0.0512809619258265</v>
      </c>
      <c r="DO66">
        <v>0</v>
      </c>
      <c r="DP66">
        <v>8.675450243902439</v>
      </c>
      <c r="DQ66">
        <v>-0.7068347038327447</v>
      </c>
      <c r="DR66">
        <v>0.07045046855381941</v>
      </c>
      <c r="DS66">
        <v>0</v>
      </c>
      <c r="DT66">
        <v>0</v>
      </c>
      <c r="DU66">
        <v>2</v>
      </c>
      <c r="DV66" t="s">
        <v>372</v>
      </c>
      <c r="DW66">
        <v>3.44439</v>
      </c>
      <c r="DX66">
        <v>2.78099</v>
      </c>
      <c r="DY66">
        <v>0.0968456</v>
      </c>
      <c r="DZ66">
        <v>0.09836010000000001</v>
      </c>
      <c r="EA66">
        <v>0.08895649999999999</v>
      </c>
      <c r="EB66">
        <v>0.0489622</v>
      </c>
      <c r="EC66">
        <v>27320.8</v>
      </c>
      <c r="ED66">
        <v>31042.2</v>
      </c>
      <c r="EE66">
        <v>29375.3</v>
      </c>
      <c r="EF66">
        <v>35008.4</v>
      </c>
      <c r="EG66">
        <v>30952</v>
      </c>
      <c r="EH66">
        <v>41363.9</v>
      </c>
      <c r="EI66">
        <v>36166.7</v>
      </c>
      <c r="EJ66">
        <v>46371.6</v>
      </c>
      <c r="EK66">
        <v>2.22792</v>
      </c>
      <c r="EL66">
        <v>2.26632</v>
      </c>
      <c r="EM66">
        <v>-0.0381172</v>
      </c>
      <c r="EN66">
        <v>0</v>
      </c>
      <c r="EO66">
        <v>21.6556</v>
      </c>
      <c r="EP66">
        <v>999.9</v>
      </c>
      <c r="EQ66">
        <v>54.3</v>
      </c>
      <c r="ER66">
        <v>25.7</v>
      </c>
      <c r="ES66">
        <v>17.7329</v>
      </c>
      <c r="ET66">
        <v>61.4664</v>
      </c>
      <c r="EU66">
        <v>26.6587</v>
      </c>
      <c r="EV66">
        <v>2</v>
      </c>
      <c r="EW66">
        <v>-0.43689</v>
      </c>
      <c r="EX66">
        <v>0</v>
      </c>
      <c r="EY66">
        <v>20.2928</v>
      </c>
      <c r="EZ66">
        <v>5.2128</v>
      </c>
      <c r="FA66">
        <v>11.9694</v>
      </c>
      <c r="FB66">
        <v>4.99155</v>
      </c>
      <c r="FC66">
        <v>3.272</v>
      </c>
      <c r="FD66">
        <v>2897.4</v>
      </c>
      <c r="FE66">
        <v>9999</v>
      </c>
      <c r="FF66">
        <v>9999</v>
      </c>
      <c r="FG66">
        <v>999.9</v>
      </c>
      <c r="FH66">
        <v>4.97259</v>
      </c>
      <c r="FI66">
        <v>1.86261</v>
      </c>
      <c r="FJ66">
        <v>1.86436</v>
      </c>
      <c r="FK66">
        <v>1.86279</v>
      </c>
      <c r="FL66">
        <v>1.8628</v>
      </c>
      <c r="FM66">
        <v>1.8634</v>
      </c>
      <c r="FN66">
        <v>1.85989</v>
      </c>
      <c r="FO66">
        <v>1.86274</v>
      </c>
      <c r="FP66">
        <v>0</v>
      </c>
      <c r="FQ66">
        <v>0</v>
      </c>
      <c r="FR66">
        <v>0</v>
      </c>
      <c r="FS66">
        <v>0</v>
      </c>
      <c r="FT66" t="s">
        <v>356</v>
      </c>
      <c r="FU66" t="s">
        <v>357</v>
      </c>
      <c r="FV66" t="s">
        <v>358</v>
      </c>
      <c r="FW66" t="s">
        <v>358</v>
      </c>
      <c r="FX66" t="s">
        <v>358</v>
      </c>
      <c r="FY66" t="s">
        <v>358</v>
      </c>
      <c r="FZ66">
        <v>0</v>
      </c>
      <c r="GA66">
        <v>100</v>
      </c>
      <c r="GB66">
        <v>100</v>
      </c>
      <c r="GC66">
        <v>2.224</v>
      </c>
      <c r="GD66">
        <v>0.1309</v>
      </c>
      <c r="GE66">
        <v>2.307038287338195</v>
      </c>
      <c r="GF66">
        <v>-0.001033730503750798</v>
      </c>
      <c r="GG66">
        <v>9.120241388950126E-07</v>
      </c>
      <c r="GH66">
        <v>-2.246115299815222E-10</v>
      </c>
      <c r="GI66">
        <v>-0.02433843877209704</v>
      </c>
      <c r="GJ66">
        <v>-0.01814858093373864</v>
      </c>
      <c r="GK66">
        <v>0.002091959988359369</v>
      </c>
      <c r="GL66">
        <v>-1.90871700788604E-05</v>
      </c>
      <c r="GM66">
        <v>2</v>
      </c>
      <c r="GN66">
        <v>2210</v>
      </c>
      <c r="GO66">
        <v>1</v>
      </c>
      <c r="GP66">
        <v>26</v>
      </c>
      <c r="GQ66">
        <v>1.6</v>
      </c>
      <c r="GR66">
        <v>4.5</v>
      </c>
      <c r="GS66">
        <v>1.25732</v>
      </c>
      <c r="GT66">
        <v>2.3877</v>
      </c>
      <c r="GU66">
        <v>2.34863</v>
      </c>
      <c r="GV66">
        <v>2.75146</v>
      </c>
      <c r="GW66">
        <v>2.39868</v>
      </c>
      <c r="GX66">
        <v>2.25952</v>
      </c>
      <c r="GY66">
        <v>29.9861</v>
      </c>
      <c r="GZ66">
        <v>12.6348</v>
      </c>
      <c r="HA66">
        <v>18</v>
      </c>
      <c r="HB66">
        <v>568.928</v>
      </c>
      <c r="HC66">
        <v>642.6319999999999</v>
      </c>
      <c r="HD66">
        <v>22.7197</v>
      </c>
      <c r="HE66">
        <v>21.7266</v>
      </c>
      <c r="HF66">
        <v>30.0004</v>
      </c>
      <c r="HG66">
        <v>21.5802</v>
      </c>
      <c r="HH66">
        <v>21.5231</v>
      </c>
      <c r="HI66">
        <v>25.2049</v>
      </c>
      <c r="HJ66">
        <v>55.8055</v>
      </c>
      <c r="HK66">
        <v>1.29903</v>
      </c>
      <c r="HL66">
        <v>-999.9</v>
      </c>
      <c r="HM66">
        <v>405</v>
      </c>
      <c r="HN66">
        <v>7.23778</v>
      </c>
      <c r="HO66">
        <v>100.867</v>
      </c>
      <c r="HP66">
        <v>101.224</v>
      </c>
    </row>
    <row r="67" spans="1:224">
      <c r="A67">
        <v>51</v>
      </c>
      <c r="B67">
        <v>1750703772.5</v>
      </c>
      <c r="C67">
        <v>8909.400000095367</v>
      </c>
      <c r="D67" t="s">
        <v>504</v>
      </c>
      <c r="E67" t="s">
        <v>505</v>
      </c>
      <c r="F67">
        <v>15</v>
      </c>
      <c r="G67">
        <v>1750703764.75</v>
      </c>
      <c r="H67">
        <f>(I67)/1000</f>
        <v>0</v>
      </c>
      <c r="I67">
        <f>IF(BD67, AL67, AF67)</f>
        <v>0</v>
      </c>
      <c r="J67">
        <f>IF(BD67, AG67, AE67)</f>
        <v>0</v>
      </c>
      <c r="K67">
        <f>BF67 - IF(AS67&gt;1, J67*AZ67*100.0/(AU67), 0)</f>
        <v>0</v>
      </c>
      <c r="L67">
        <f>((R67-H67/2)*K67-J67)/(R67+H67/2)</f>
        <v>0</v>
      </c>
      <c r="M67">
        <f>L67*(BM67+BN67)/1000.0</f>
        <v>0</v>
      </c>
      <c r="N67">
        <f>(BF67 - IF(AS67&gt;1, J67*AZ67*100.0/(AU67), 0))*(BM67+BN67)/1000.0</f>
        <v>0</v>
      </c>
      <c r="O67">
        <f>2.0/((1/Q67-1/P67)+SIGN(Q67)*SQRT((1/Q67-1/P67)*(1/Q67-1/P67) + 4*BA67/((BA67+1)*(BA67+1))*(2*1/Q67*1/P67-1/P67*1/P67)))</f>
        <v>0</v>
      </c>
      <c r="P67">
        <f>IF(LEFT(BB67,1)&lt;&gt;"0",IF(LEFT(BB67,1)="1",3.0,BC67),$D$5+$E$5*(BT67*BM67/($K$5*1000))+$F$5*(BT67*BM67/($K$5*1000))*MAX(MIN(AZ67,$J$5),$I$5)*MAX(MIN(AZ67,$J$5),$I$5)+$G$5*MAX(MIN(AZ67,$J$5),$I$5)*(BT67*BM67/($K$5*1000))+$H$5*(BT67*BM67/($K$5*1000))*(BT67*BM67/($K$5*1000)))</f>
        <v>0</v>
      </c>
      <c r="Q67">
        <f>H67*(1000-(1000*0.61365*exp(17.502*U67/(240.97+U67))/(BM67+BN67)+BH67)/2)/(1000*0.61365*exp(17.502*U67/(240.97+U67))/(BM67+BN67)-BH67)</f>
        <v>0</v>
      </c>
      <c r="R67">
        <f>1/((BA67+1)/(O67/1.6)+1/(P67/1.37)) + BA67/((BA67+1)/(O67/1.6) + BA67/(P67/1.37))</f>
        <v>0</v>
      </c>
      <c r="S67">
        <f>(AV67*AY67)</f>
        <v>0</v>
      </c>
      <c r="T67">
        <f>(BO67+(S67+2*0.95*5.67E-8*(((BO67+$B$7)+273)^4-(BO67+273)^4)-44100*H67)/(1.84*29.3*P67+8*0.95*5.67E-8*(BO67+273)^3))</f>
        <v>0</v>
      </c>
      <c r="U67">
        <f>($C$7*BP67+$D$7*BQ67+$E$7*T67)</f>
        <v>0</v>
      </c>
      <c r="V67">
        <f>0.61365*exp(17.502*U67/(240.97+U67))</f>
        <v>0</v>
      </c>
      <c r="W67">
        <f>(X67/Y67*100)</f>
        <v>0</v>
      </c>
      <c r="X67">
        <f>BH67*(BM67+BN67)/1000</f>
        <v>0</v>
      </c>
      <c r="Y67">
        <f>0.61365*exp(17.502*BO67/(240.97+BO67))</f>
        <v>0</v>
      </c>
      <c r="Z67">
        <f>(V67-BH67*(BM67+BN67)/1000)</f>
        <v>0</v>
      </c>
      <c r="AA67">
        <f>(-H67*44100)</f>
        <v>0</v>
      </c>
      <c r="AB67">
        <f>2*29.3*P67*0.92*(BO67-U67)</f>
        <v>0</v>
      </c>
      <c r="AC67">
        <f>2*0.95*5.67E-8*(((BO67+$B$7)+273)^4-(U67+273)^4)</f>
        <v>0</v>
      </c>
      <c r="AD67">
        <f>S67+AC67+AA67+AB67</f>
        <v>0</v>
      </c>
      <c r="AE67">
        <f>BL67*AS67*(BG67-BF67*(1000-AS67*BI67)/(1000-AS67*BH67))/(100*AZ67)</f>
        <v>0</v>
      </c>
      <c r="AF67">
        <f>1000*BL67*AS67*(BH67-BI67)/(100*AZ67*(1000-AS67*BH67))</f>
        <v>0</v>
      </c>
      <c r="AG67">
        <f>(AH67 - AI67 - BM67*1E3/(8.314*(BO67+273.15)) * AK67/BL67 * AJ67) * BL67/(100*AZ67) * (1000 - BI67)/1000</f>
        <v>0</v>
      </c>
      <c r="AH67">
        <v>411.2613924858492</v>
      </c>
      <c r="AI67">
        <v>408.4824484848484</v>
      </c>
      <c r="AJ67">
        <v>0.0006797577696915685</v>
      </c>
      <c r="AK67">
        <v>66.94781272886989</v>
      </c>
      <c r="AL67">
        <f>(AN67 - AM67 + BM67*1E3/(8.314*(BO67+273.15)) * AP67/BL67 * AO67) * BL67/(100*AZ67) * 1000/(1000 - AN67)</f>
        <v>0</v>
      </c>
      <c r="AM67">
        <v>15.22237300414197</v>
      </c>
      <c r="AN67">
        <v>15.87916121212122</v>
      </c>
      <c r="AO67">
        <v>0.0001458146310769475</v>
      </c>
      <c r="AP67">
        <v>79.39656912262842</v>
      </c>
      <c r="AQ67">
        <v>308</v>
      </c>
      <c r="AR67">
        <v>38</v>
      </c>
      <c r="AS67">
        <f>IF(AQ67*$H$13&gt;=AU67,1.0,(AU67/(AU67-AQ67*$H$13)))</f>
        <v>0</v>
      </c>
      <c r="AT67">
        <f>(AS67-1)*100</f>
        <v>0</v>
      </c>
      <c r="AU67">
        <f>MAX(0,($B$13+$C$13*BT67)/(1+$D$13*BT67)*BM67/(BO67+273)*$E$13)</f>
        <v>0</v>
      </c>
      <c r="AV67">
        <f>$B$11*BU67+$C$11*BV67+$F$11*CG67*(1-CJ67)</f>
        <v>0</v>
      </c>
      <c r="AW67">
        <f>AV67*AX67</f>
        <v>0</v>
      </c>
      <c r="AX67">
        <f>($B$11*$D$9+$C$11*$D$9+$F$11*((CT67+CL67)/MAX(CT67+CL67+CU67, 0.1)*$I$9+CU67/MAX(CT67+CL67+CU67, 0.1)*$J$9))/($B$11+$C$11+$F$11)</f>
        <v>0</v>
      </c>
      <c r="AY67">
        <f>($B$11*$K$9+$C$11*$K$9+$F$11*((CT67+CL67)/MAX(CT67+CL67+CU67, 0.1)*$P$9+CU67/MAX(CT67+CL67+CU67, 0.1)*$Q$9))/($B$11+$C$11+$F$11)</f>
        <v>0</v>
      </c>
      <c r="AZ67">
        <v>6</v>
      </c>
      <c r="BA67">
        <v>0.5</v>
      </c>
      <c r="BB67" t="s">
        <v>353</v>
      </c>
      <c r="BC67">
        <v>2</v>
      </c>
      <c r="BD67" t="b">
        <v>0</v>
      </c>
      <c r="BE67">
        <v>1750703764.75</v>
      </c>
      <c r="BF67">
        <v>401.7695</v>
      </c>
      <c r="BG67">
        <v>405.0010666666667</v>
      </c>
      <c r="BH67">
        <v>15.85315333333333</v>
      </c>
      <c r="BI67">
        <v>15.24451</v>
      </c>
      <c r="BJ67">
        <v>399.7215</v>
      </c>
      <c r="BK67">
        <v>15.72315333333333</v>
      </c>
      <c r="BL67">
        <v>800.0050333333335</v>
      </c>
      <c r="BM67">
        <v>101.5042333333334</v>
      </c>
      <c r="BN67">
        <v>0.1000718166666667</v>
      </c>
      <c r="BO67">
        <v>23.71290666666666</v>
      </c>
      <c r="BP67">
        <v>23.13520999999999</v>
      </c>
      <c r="BQ67">
        <v>999.9000000000002</v>
      </c>
      <c r="BR67">
        <v>0</v>
      </c>
      <c r="BS67">
        <v>0</v>
      </c>
      <c r="BT67">
        <v>10007.45366666667</v>
      </c>
      <c r="BU67">
        <v>0</v>
      </c>
      <c r="BV67">
        <v>0.00152894</v>
      </c>
      <c r="BW67">
        <v>-3.054619</v>
      </c>
      <c r="BX67">
        <v>408.4226333333332</v>
      </c>
      <c r="BY67">
        <v>411.2706999999999</v>
      </c>
      <c r="BZ67">
        <v>0.6119241333333334</v>
      </c>
      <c r="CA67">
        <v>405.0010666666667</v>
      </c>
      <c r="CB67">
        <v>15.24451</v>
      </c>
      <c r="CC67">
        <v>1.609495333333333</v>
      </c>
      <c r="CD67">
        <v>1.547381333333333</v>
      </c>
      <c r="CE67">
        <v>14.04999333333333</v>
      </c>
      <c r="CF67">
        <v>13.44455666666667</v>
      </c>
      <c r="CG67">
        <v>999.955733333333</v>
      </c>
      <c r="CH67">
        <v>0.9599985333333332</v>
      </c>
      <c r="CI67">
        <v>0.04000116333333333</v>
      </c>
      <c r="CJ67">
        <v>0</v>
      </c>
      <c r="CK67">
        <v>0.9433333333333334</v>
      </c>
      <c r="CL67">
        <v>0</v>
      </c>
      <c r="CM67">
        <v>10073.65533333333</v>
      </c>
      <c r="CN67">
        <v>7946.560333333333</v>
      </c>
      <c r="CO67">
        <v>36.74136666666666</v>
      </c>
      <c r="CP67">
        <v>39.82893333333332</v>
      </c>
      <c r="CQ67">
        <v>38.14143333333332</v>
      </c>
      <c r="CR67">
        <v>38.91226666666667</v>
      </c>
      <c r="CS67">
        <v>36.8663</v>
      </c>
      <c r="CT67">
        <v>959.9553333333332</v>
      </c>
      <c r="CU67">
        <v>39.99966666666667</v>
      </c>
      <c r="CV67">
        <v>0</v>
      </c>
      <c r="CW67">
        <v>1750703789.6</v>
      </c>
      <c r="CX67">
        <v>0</v>
      </c>
      <c r="CY67">
        <v>1750703795.5</v>
      </c>
      <c r="CZ67" t="s">
        <v>506</v>
      </c>
      <c r="DA67">
        <v>1750703795.5</v>
      </c>
      <c r="DB67">
        <v>1750703789.5</v>
      </c>
      <c r="DC67">
        <v>47</v>
      </c>
      <c r="DD67">
        <v>-0.176</v>
      </c>
      <c r="DE67">
        <v>0.016</v>
      </c>
      <c r="DF67">
        <v>2.048</v>
      </c>
      <c r="DG67">
        <v>0.13</v>
      </c>
      <c r="DH67">
        <v>405</v>
      </c>
      <c r="DI67">
        <v>15</v>
      </c>
      <c r="DJ67">
        <v>0.28</v>
      </c>
      <c r="DK67">
        <v>0.07000000000000001</v>
      </c>
      <c r="DL67">
        <v>-3.1023465</v>
      </c>
      <c r="DM67">
        <v>0.782178011257036</v>
      </c>
      <c r="DN67">
        <v>0.07778486017696505</v>
      </c>
      <c r="DO67">
        <v>0</v>
      </c>
      <c r="DP67">
        <v>0.5066450850000001</v>
      </c>
      <c r="DQ67">
        <v>1.651437651782364</v>
      </c>
      <c r="DR67">
        <v>0.1795172468872052</v>
      </c>
      <c r="DS67">
        <v>0</v>
      </c>
      <c r="DT67">
        <v>0</v>
      </c>
      <c r="DU67">
        <v>2</v>
      </c>
      <c r="DV67" t="s">
        <v>372</v>
      </c>
      <c r="DW67">
        <v>3.44843</v>
      </c>
      <c r="DX67">
        <v>2.78095</v>
      </c>
      <c r="DY67">
        <v>0.0974975</v>
      </c>
      <c r="DZ67">
        <v>0.098414</v>
      </c>
      <c r="EA67">
        <v>0.0893388</v>
      </c>
      <c r="EB67">
        <v>0.08641699999999999</v>
      </c>
      <c r="EC67">
        <v>27296.4</v>
      </c>
      <c r="ED67">
        <v>31033.9</v>
      </c>
      <c r="EE67">
        <v>29370.7</v>
      </c>
      <c r="EF67">
        <v>35001.1</v>
      </c>
      <c r="EG67">
        <v>30933.9</v>
      </c>
      <c r="EH67">
        <v>39718.6</v>
      </c>
      <c r="EI67">
        <v>36160.7</v>
      </c>
      <c r="EJ67">
        <v>46360.8</v>
      </c>
      <c r="EK67">
        <v>2.01942</v>
      </c>
      <c r="EL67">
        <v>2.2805</v>
      </c>
      <c r="EM67">
        <v>0.0785738</v>
      </c>
      <c r="EN67">
        <v>0</v>
      </c>
      <c r="EO67">
        <v>21.8099</v>
      </c>
      <c r="EP67">
        <v>999.9</v>
      </c>
      <c r="EQ67">
        <v>54.2</v>
      </c>
      <c r="ER67">
        <v>25.8</v>
      </c>
      <c r="ES67">
        <v>17.8041</v>
      </c>
      <c r="ET67">
        <v>61.4964</v>
      </c>
      <c r="EU67">
        <v>26.234</v>
      </c>
      <c r="EV67">
        <v>2</v>
      </c>
      <c r="EW67">
        <v>-0.428336</v>
      </c>
      <c r="EX67">
        <v>0</v>
      </c>
      <c r="EY67">
        <v>20.2942</v>
      </c>
      <c r="EZ67">
        <v>5.21564</v>
      </c>
      <c r="FA67">
        <v>11.9695</v>
      </c>
      <c r="FB67">
        <v>4.9917</v>
      </c>
      <c r="FC67">
        <v>3.272</v>
      </c>
      <c r="FD67">
        <v>2901.9</v>
      </c>
      <c r="FE67">
        <v>9999</v>
      </c>
      <c r="FF67">
        <v>9999</v>
      </c>
      <c r="FG67">
        <v>999.9</v>
      </c>
      <c r="FH67">
        <v>4.97259</v>
      </c>
      <c r="FI67">
        <v>1.86264</v>
      </c>
      <c r="FJ67">
        <v>1.86437</v>
      </c>
      <c r="FK67">
        <v>1.86279</v>
      </c>
      <c r="FL67">
        <v>1.8628</v>
      </c>
      <c r="FM67">
        <v>1.8634</v>
      </c>
      <c r="FN67">
        <v>1.85989</v>
      </c>
      <c r="FO67">
        <v>1.86269</v>
      </c>
      <c r="FP67">
        <v>0</v>
      </c>
      <c r="FQ67">
        <v>0</v>
      </c>
      <c r="FR67">
        <v>0</v>
      </c>
      <c r="FS67">
        <v>0</v>
      </c>
      <c r="FT67" t="s">
        <v>356</v>
      </c>
      <c r="FU67" t="s">
        <v>357</v>
      </c>
      <c r="FV67" t="s">
        <v>358</v>
      </c>
      <c r="FW67" t="s">
        <v>358</v>
      </c>
      <c r="FX67" t="s">
        <v>358</v>
      </c>
      <c r="FY67" t="s">
        <v>358</v>
      </c>
      <c r="FZ67">
        <v>0</v>
      </c>
      <c r="GA67">
        <v>100</v>
      </c>
      <c r="GB67">
        <v>100</v>
      </c>
      <c r="GC67">
        <v>2.048</v>
      </c>
      <c r="GD67">
        <v>0.13</v>
      </c>
      <c r="GE67">
        <v>2.506798049417367</v>
      </c>
      <c r="GF67">
        <v>-0.001033730503750798</v>
      </c>
      <c r="GG67">
        <v>9.120241388950126E-07</v>
      </c>
      <c r="GH67">
        <v>-2.246115299815222E-10</v>
      </c>
      <c r="GI67">
        <v>-0.02433843877209704</v>
      </c>
      <c r="GJ67">
        <v>-0.01814858093373864</v>
      </c>
      <c r="GK67">
        <v>0.002091959988359369</v>
      </c>
      <c r="GL67">
        <v>-1.90871700788604E-05</v>
      </c>
      <c r="GM67">
        <v>2</v>
      </c>
      <c r="GN67">
        <v>2210</v>
      </c>
      <c r="GO67">
        <v>1</v>
      </c>
      <c r="GP67">
        <v>26</v>
      </c>
      <c r="GQ67">
        <v>2.2</v>
      </c>
      <c r="GR67">
        <v>7</v>
      </c>
      <c r="GS67">
        <v>1.26465</v>
      </c>
      <c r="GT67">
        <v>2.38647</v>
      </c>
      <c r="GU67">
        <v>2.34741</v>
      </c>
      <c r="GV67">
        <v>2.75146</v>
      </c>
      <c r="GW67">
        <v>2.39868</v>
      </c>
      <c r="GX67">
        <v>2.27173</v>
      </c>
      <c r="GY67">
        <v>30.0504</v>
      </c>
      <c r="GZ67">
        <v>12.5385</v>
      </c>
      <c r="HA67">
        <v>18</v>
      </c>
      <c r="HB67">
        <v>448.814</v>
      </c>
      <c r="HC67">
        <v>655.466</v>
      </c>
      <c r="HD67">
        <v>22.7962</v>
      </c>
      <c r="HE67">
        <v>21.8453</v>
      </c>
      <c r="HF67">
        <v>30.0003</v>
      </c>
      <c r="HG67">
        <v>21.7019</v>
      </c>
      <c r="HH67">
        <v>21.6421</v>
      </c>
      <c r="HI67">
        <v>25.3601</v>
      </c>
      <c r="HJ67">
        <v>18.8665</v>
      </c>
      <c r="HK67">
        <v>0.9395</v>
      </c>
      <c r="HL67">
        <v>-999.9</v>
      </c>
      <c r="HM67">
        <v>405</v>
      </c>
      <c r="HN67">
        <v>15.1537</v>
      </c>
      <c r="HO67">
        <v>100.851</v>
      </c>
      <c r="HP67">
        <v>101.201</v>
      </c>
    </row>
    <row r="68" spans="1:224">
      <c r="A68">
        <v>52</v>
      </c>
      <c r="B68">
        <v>1750703887.5</v>
      </c>
      <c r="C68">
        <v>9024.400000095367</v>
      </c>
      <c r="D68" t="s">
        <v>507</v>
      </c>
      <c r="E68" t="s">
        <v>508</v>
      </c>
      <c r="F68">
        <v>15</v>
      </c>
      <c r="G68">
        <v>1750703879.5</v>
      </c>
      <c r="H68">
        <f>(I68)/1000</f>
        <v>0</v>
      </c>
      <c r="I68">
        <f>IF(BD68, AL68, AF68)</f>
        <v>0</v>
      </c>
      <c r="J68">
        <f>IF(BD68, AG68, AE68)</f>
        <v>0</v>
      </c>
      <c r="K68">
        <f>BF68 - IF(AS68&gt;1, J68*AZ68*100.0/(AU68), 0)</f>
        <v>0</v>
      </c>
      <c r="L68">
        <f>((R68-H68/2)*K68-J68)/(R68+H68/2)</f>
        <v>0</v>
      </c>
      <c r="M68">
        <f>L68*(BM68+BN68)/1000.0</f>
        <v>0</v>
      </c>
      <c r="N68">
        <f>(BF68 - IF(AS68&gt;1, J68*AZ68*100.0/(AU68), 0))*(BM68+BN68)/1000.0</f>
        <v>0</v>
      </c>
      <c r="O68">
        <f>2.0/((1/Q68-1/P68)+SIGN(Q68)*SQRT((1/Q68-1/P68)*(1/Q68-1/P68) + 4*BA68/((BA68+1)*(BA68+1))*(2*1/Q68*1/P68-1/P68*1/P68)))</f>
        <v>0</v>
      </c>
      <c r="P68">
        <f>IF(LEFT(BB68,1)&lt;&gt;"0",IF(LEFT(BB68,1)="1",3.0,BC68),$D$5+$E$5*(BT68*BM68/($K$5*1000))+$F$5*(BT68*BM68/($K$5*1000))*MAX(MIN(AZ68,$J$5),$I$5)*MAX(MIN(AZ68,$J$5),$I$5)+$G$5*MAX(MIN(AZ68,$J$5),$I$5)*(BT68*BM68/($K$5*1000))+$H$5*(BT68*BM68/($K$5*1000))*(BT68*BM68/($K$5*1000)))</f>
        <v>0</v>
      </c>
      <c r="Q68">
        <f>H68*(1000-(1000*0.61365*exp(17.502*U68/(240.97+U68))/(BM68+BN68)+BH68)/2)/(1000*0.61365*exp(17.502*U68/(240.97+U68))/(BM68+BN68)-BH68)</f>
        <v>0</v>
      </c>
      <c r="R68">
        <f>1/((BA68+1)/(O68/1.6)+1/(P68/1.37)) + BA68/((BA68+1)/(O68/1.6) + BA68/(P68/1.37))</f>
        <v>0</v>
      </c>
      <c r="S68">
        <f>(AV68*AY68)</f>
        <v>0</v>
      </c>
      <c r="T68">
        <f>(BO68+(S68+2*0.95*5.67E-8*(((BO68+$B$7)+273)^4-(BO68+273)^4)-44100*H68)/(1.84*29.3*P68+8*0.95*5.67E-8*(BO68+273)^3))</f>
        <v>0</v>
      </c>
      <c r="U68">
        <f>($C$7*BP68+$D$7*BQ68+$E$7*T68)</f>
        <v>0</v>
      </c>
      <c r="V68">
        <f>0.61365*exp(17.502*U68/(240.97+U68))</f>
        <v>0</v>
      </c>
      <c r="W68">
        <f>(X68/Y68*100)</f>
        <v>0</v>
      </c>
      <c r="X68">
        <f>BH68*(BM68+BN68)/1000</f>
        <v>0</v>
      </c>
      <c r="Y68">
        <f>0.61365*exp(17.502*BO68/(240.97+BO68))</f>
        <v>0</v>
      </c>
      <c r="Z68">
        <f>(V68-BH68*(BM68+BN68)/1000)</f>
        <v>0</v>
      </c>
      <c r="AA68">
        <f>(-H68*44100)</f>
        <v>0</v>
      </c>
      <c r="AB68">
        <f>2*29.3*P68*0.92*(BO68-U68)</f>
        <v>0</v>
      </c>
      <c r="AC68">
        <f>2*0.95*5.67E-8*(((BO68+$B$7)+273)^4-(U68+273)^4)</f>
        <v>0</v>
      </c>
      <c r="AD68">
        <f>S68+AC68+AA68+AB68</f>
        <v>0</v>
      </c>
      <c r="AE68">
        <f>BL68*AS68*(BG68-BF68*(1000-AS68*BI68)/(1000-AS68*BH68))/(100*AZ68)</f>
        <v>0</v>
      </c>
      <c r="AF68">
        <f>1000*BL68*AS68*(BH68-BI68)/(100*AZ68*(1000-AS68*BH68))</f>
        <v>0</v>
      </c>
      <c r="AG68">
        <f>(AH68 - AI68 - BM68*1E3/(8.314*(BO68+273.15)) * AK68/BL68 * AJ68) * BL68/(100*AZ68) * (1000 - BI68)/1000</f>
        <v>0</v>
      </c>
      <c r="AH68">
        <v>410.938373503215</v>
      </c>
      <c r="AI68">
        <v>404.3010181818181</v>
      </c>
      <c r="AJ68">
        <v>0.001406154776336531</v>
      </c>
      <c r="AK68">
        <v>66.95498762563163</v>
      </c>
      <c r="AL68">
        <f>(AN68 - AM68 + BM68*1E3/(8.314*(BO68+273.15)) * AP68/BL68 * AO68) * BL68/(100*AZ68) * 1000/(1000 - AN68)</f>
        <v>0</v>
      </c>
      <c r="AM68">
        <v>14.3885533931137</v>
      </c>
      <c r="AN68">
        <v>15.84108909090909</v>
      </c>
      <c r="AO68">
        <v>-0.001861018151369434</v>
      </c>
      <c r="AP68">
        <v>79.25922843048427</v>
      </c>
      <c r="AQ68">
        <v>68</v>
      </c>
      <c r="AR68">
        <v>9</v>
      </c>
      <c r="AS68">
        <f>IF(AQ68*$H$13&gt;=AU68,1.0,(AU68/(AU68-AQ68*$H$13)))</f>
        <v>0</v>
      </c>
      <c r="AT68">
        <f>(AS68-1)*100</f>
        <v>0</v>
      </c>
      <c r="AU68">
        <f>MAX(0,($B$13+$C$13*BT68)/(1+$D$13*BT68)*BM68/(BO68+273)*$E$13)</f>
        <v>0</v>
      </c>
      <c r="AV68">
        <f>$B$11*BU68+$C$11*BV68+$F$11*CG68*(1-CJ68)</f>
        <v>0</v>
      </c>
      <c r="AW68">
        <f>AV68*AX68</f>
        <v>0</v>
      </c>
      <c r="AX68">
        <f>($B$11*$D$9+$C$11*$D$9+$F$11*((CT68+CL68)/MAX(CT68+CL68+CU68, 0.1)*$I$9+CU68/MAX(CT68+CL68+CU68, 0.1)*$J$9))/($B$11+$C$11+$F$11)</f>
        <v>0</v>
      </c>
      <c r="AY68">
        <f>($B$11*$K$9+$C$11*$K$9+$F$11*((CT68+CL68)/MAX(CT68+CL68+CU68, 0.1)*$P$9+CU68/MAX(CT68+CL68+CU68, 0.1)*$Q$9))/($B$11+$C$11+$F$11)</f>
        <v>0</v>
      </c>
      <c r="AZ68">
        <v>6</v>
      </c>
      <c r="BA68">
        <v>0.5</v>
      </c>
      <c r="BB68" t="s">
        <v>353</v>
      </c>
      <c r="BC68">
        <v>2</v>
      </c>
      <c r="BD68" t="b">
        <v>0</v>
      </c>
      <c r="BE68">
        <v>1750703879.5</v>
      </c>
      <c r="BF68">
        <v>397.9690000000001</v>
      </c>
      <c r="BG68">
        <v>405.0048709677419</v>
      </c>
      <c r="BH68">
        <v>15.87891290322581</v>
      </c>
      <c r="BI68">
        <v>14.39112580645162</v>
      </c>
      <c r="BJ68">
        <v>395.849</v>
      </c>
      <c r="BK68">
        <v>15.72921612903226</v>
      </c>
      <c r="BL68">
        <v>800.0362580645165</v>
      </c>
      <c r="BM68">
        <v>101.5037096774194</v>
      </c>
      <c r="BN68">
        <v>0.09999869354838709</v>
      </c>
      <c r="BO68">
        <v>23.75284193548387</v>
      </c>
      <c r="BP68">
        <v>23.25417096774193</v>
      </c>
      <c r="BQ68">
        <v>999.9000000000003</v>
      </c>
      <c r="BR68">
        <v>0</v>
      </c>
      <c r="BS68">
        <v>0</v>
      </c>
      <c r="BT68">
        <v>10014.19387096774</v>
      </c>
      <c r="BU68">
        <v>0</v>
      </c>
      <c r="BV68">
        <v>0.00152894</v>
      </c>
      <c r="BW68">
        <v>-7.104764516129032</v>
      </c>
      <c r="BX68">
        <v>404.3203870967743</v>
      </c>
      <c r="BY68">
        <v>410.9185483870967</v>
      </c>
      <c r="BZ68">
        <v>1.487797096774193</v>
      </c>
      <c r="CA68">
        <v>405.0048709677419</v>
      </c>
      <c r="CB68">
        <v>14.39112580645162</v>
      </c>
      <c r="CC68">
        <v>1.61177</v>
      </c>
      <c r="CD68">
        <v>1.460753548387097</v>
      </c>
      <c r="CE68">
        <v>14.07176129032258</v>
      </c>
      <c r="CF68">
        <v>12.56343870967742</v>
      </c>
      <c r="CG68">
        <v>999.9852580645161</v>
      </c>
      <c r="CH68">
        <v>0.9600058064516127</v>
      </c>
      <c r="CI68">
        <v>0.03999393548387097</v>
      </c>
      <c r="CJ68">
        <v>0</v>
      </c>
      <c r="CK68">
        <v>1.854677419354838</v>
      </c>
      <c r="CL68">
        <v>0</v>
      </c>
      <c r="CM68">
        <v>12198.25483870967</v>
      </c>
      <c r="CN68">
        <v>7946.823548387097</v>
      </c>
      <c r="CO68">
        <v>37.75580645161289</v>
      </c>
      <c r="CP68">
        <v>41.0320322580645</v>
      </c>
      <c r="CQ68">
        <v>39.13887096774192</v>
      </c>
      <c r="CR68">
        <v>40.64083870967741</v>
      </c>
      <c r="CS68">
        <v>37.83041935483871</v>
      </c>
      <c r="CT68">
        <v>959.9906451612903</v>
      </c>
      <c r="CU68">
        <v>39.99354838709677</v>
      </c>
      <c r="CV68">
        <v>0</v>
      </c>
      <c r="CW68">
        <v>1750703904.2</v>
      </c>
      <c r="CX68">
        <v>0</v>
      </c>
      <c r="CY68">
        <v>1750703904.5</v>
      </c>
      <c r="CZ68" t="s">
        <v>509</v>
      </c>
      <c r="DA68">
        <v>1750703904.5</v>
      </c>
      <c r="DB68">
        <v>1750703789.5</v>
      </c>
      <c r="DC68">
        <v>48</v>
      </c>
      <c r="DD68">
        <v>0.07199999999999999</v>
      </c>
      <c r="DE68">
        <v>0.016</v>
      </c>
      <c r="DF68">
        <v>2.12</v>
      </c>
      <c r="DG68">
        <v>0.13</v>
      </c>
      <c r="DH68">
        <v>405</v>
      </c>
      <c r="DI68">
        <v>15</v>
      </c>
      <c r="DJ68">
        <v>0.24</v>
      </c>
      <c r="DK68">
        <v>0.07000000000000001</v>
      </c>
      <c r="DL68">
        <v>-7.094620000000001</v>
      </c>
      <c r="DM68">
        <v>-0.3633137979094121</v>
      </c>
      <c r="DN68">
        <v>0.04348696434901706</v>
      </c>
      <c r="DO68">
        <v>0</v>
      </c>
      <c r="DP68">
        <v>1.517222926829268</v>
      </c>
      <c r="DQ68">
        <v>-0.5310501742160296</v>
      </c>
      <c r="DR68">
        <v>0.05472169789673894</v>
      </c>
      <c r="DS68">
        <v>0</v>
      </c>
      <c r="DT68">
        <v>0</v>
      </c>
      <c r="DU68">
        <v>2</v>
      </c>
      <c r="DV68" t="s">
        <v>372</v>
      </c>
      <c r="DW68">
        <v>3.44785</v>
      </c>
      <c r="DX68">
        <v>2.78074</v>
      </c>
      <c r="DY68">
        <v>0.0967667</v>
      </c>
      <c r="DZ68">
        <v>0.09839970000000001</v>
      </c>
      <c r="EA68">
        <v>0.08911230000000001</v>
      </c>
      <c r="EB68">
        <v>0.0829208</v>
      </c>
      <c r="EC68">
        <v>27319.4</v>
      </c>
      <c r="ED68">
        <v>31036.4</v>
      </c>
      <c r="EE68">
        <v>29371.7</v>
      </c>
      <c r="EF68">
        <v>35003.4</v>
      </c>
      <c r="EG68">
        <v>30942.7</v>
      </c>
      <c r="EH68">
        <v>39873.8</v>
      </c>
      <c r="EI68">
        <v>36161.8</v>
      </c>
      <c r="EJ68">
        <v>46363.9</v>
      </c>
      <c r="EK68">
        <v>2.4409</v>
      </c>
      <c r="EL68">
        <v>2.28095</v>
      </c>
      <c r="EM68">
        <v>0.08970499999999999</v>
      </c>
      <c r="EN68">
        <v>0</v>
      </c>
      <c r="EO68">
        <v>21.8343</v>
      </c>
      <c r="EP68">
        <v>999.9</v>
      </c>
      <c r="EQ68">
        <v>54.1</v>
      </c>
      <c r="ER68">
        <v>25.8</v>
      </c>
      <c r="ES68">
        <v>17.7724</v>
      </c>
      <c r="ET68">
        <v>61.9064</v>
      </c>
      <c r="EU68">
        <v>26.1298</v>
      </c>
      <c r="EV68">
        <v>2</v>
      </c>
      <c r="EW68">
        <v>-0.429466</v>
      </c>
      <c r="EX68">
        <v>0</v>
      </c>
      <c r="EY68">
        <v>20.2945</v>
      </c>
      <c r="EZ68">
        <v>5.2119</v>
      </c>
      <c r="FA68">
        <v>11.9707</v>
      </c>
      <c r="FB68">
        <v>4.9913</v>
      </c>
      <c r="FC68">
        <v>3.272</v>
      </c>
      <c r="FD68">
        <v>2905.4</v>
      </c>
      <c r="FE68">
        <v>9999</v>
      </c>
      <c r="FF68">
        <v>9999</v>
      </c>
      <c r="FG68">
        <v>999.9</v>
      </c>
      <c r="FH68">
        <v>4.97256</v>
      </c>
      <c r="FI68">
        <v>1.86263</v>
      </c>
      <c r="FJ68">
        <v>1.86436</v>
      </c>
      <c r="FK68">
        <v>1.86279</v>
      </c>
      <c r="FL68">
        <v>1.86279</v>
      </c>
      <c r="FM68">
        <v>1.8634</v>
      </c>
      <c r="FN68">
        <v>1.85989</v>
      </c>
      <c r="FO68">
        <v>1.86266</v>
      </c>
      <c r="FP68">
        <v>0</v>
      </c>
      <c r="FQ68">
        <v>0</v>
      </c>
      <c r="FR68">
        <v>0</v>
      </c>
      <c r="FS68">
        <v>0</v>
      </c>
      <c r="FT68" t="s">
        <v>356</v>
      </c>
      <c r="FU68" t="s">
        <v>357</v>
      </c>
      <c r="FV68" t="s">
        <v>358</v>
      </c>
      <c r="FW68" t="s">
        <v>358</v>
      </c>
      <c r="FX68" t="s">
        <v>358</v>
      </c>
      <c r="FY68" t="s">
        <v>358</v>
      </c>
      <c r="FZ68">
        <v>0</v>
      </c>
      <c r="GA68">
        <v>100</v>
      </c>
      <c r="GB68">
        <v>100</v>
      </c>
      <c r="GC68">
        <v>2.12</v>
      </c>
      <c r="GD68">
        <v>0.1484</v>
      </c>
      <c r="GE68">
        <v>2.331465598926425</v>
      </c>
      <c r="GF68">
        <v>-0.001033730503750798</v>
      </c>
      <c r="GG68">
        <v>9.120241388950126E-07</v>
      </c>
      <c r="GH68">
        <v>-2.246115299815222E-10</v>
      </c>
      <c r="GI68">
        <v>-0.008124939539729842</v>
      </c>
      <c r="GJ68">
        <v>-0.01814858093373864</v>
      </c>
      <c r="GK68">
        <v>0.002091959988359369</v>
      </c>
      <c r="GL68">
        <v>-1.90871700788604E-05</v>
      </c>
      <c r="GM68">
        <v>2</v>
      </c>
      <c r="GN68">
        <v>2210</v>
      </c>
      <c r="GO68">
        <v>1</v>
      </c>
      <c r="GP68">
        <v>26</v>
      </c>
      <c r="GQ68">
        <v>1.5</v>
      </c>
      <c r="GR68">
        <v>1.6</v>
      </c>
      <c r="GS68">
        <v>1.26343</v>
      </c>
      <c r="GT68">
        <v>2.39624</v>
      </c>
      <c r="GU68">
        <v>2.34863</v>
      </c>
      <c r="GV68">
        <v>2.75146</v>
      </c>
      <c r="GW68">
        <v>2.39868</v>
      </c>
      <c r="GX68">
        <v>2.24976</v>
      </c>
      <c r="GY68">
        <v>30.0932</v>
      </c>
      <c r="GZ68">
        <v>12.4597</v>
      </c>
      <c r="HA68">
        <v>18</v>
      </c>
      <c r="HB68">
        <v>720.908</v>
      </c>
      <c r="HC68">
        <v>656.0410000000001</v>
      </c>
      <c r="HD68">
        <v>22.829</v>
      </c>
      <c r="HE68">
        <v>21.8504</v>
      </c>
      <c r="HF68">
        <v>30.0002</v>
      </c>
      <c r="HG68">
        <v>21.7041</v>
      </c>
      <c r="HH68">
        <v>21.6585</v>
      </c>
      <c r="HI68">
        <v>25.3451</v>
      </c>
      <c r="HJ68">
        <v>24.1069</v>
      </c>
      <c r="HK68">
        <v>1.29325</v>
      </c>
      <c r="HL68">
        <v>-999.9</v>
      </c>
      <c r="HM68">
        <v>405</v>
      </c>
      <c r="HN68">
        <v>14.494</v>
      </c>
      <c r="HO68">
        <v>100.854</v>
      </c>
      <c r="HP68">
        <v>101.208</v>
      </c>
    </row>
    <row r="69" spans="1:224">
      <c r="A69">
        <v>53</v>
      </c>
      <c r="B69">
        <v>1750704021</v>
      </c>
      <c r="C69">
        <v>9157.900000095367</v>
      </c>
      <c r="D69" t="s">
        <v>510</v>
      </c>
      <c r="E69" t="s">
        <v>511</v>
      </c>
      <c r="F69">
        <v>15</v>
      </c>
      <c r="G69">
        <v>1750704013.25</v>
      </c>
      <c r="H69">
        <f>(I69)/1000</f>
        <v>0</v>
      </c>
      <c r="I69">
        <f>IF(BD69, AL69, AF69)</f>
        <v>0</v>
      </c>
      <c r="J69">
        <f>IF(BD69, AG69, AE69)</f>
        <v>0</v>
      </c>
      <c r="K69">
        <f>BF69 - IF(AS69&gt;1, J69*AZ69*100.0/(AU69), 0)</f>
        <v>0</v>
      </c>
      <c r="L69">
        <f>((R69-H69/2)*K69-J69)/(R69+H69/2)</f>
        <v>0</v>
      </c>
      <c r="M69">
        <f>L69*(BM69+BN69)/1000.0</f>
        <v>0</v>
      </c>
      <c r="N69">
        <f>(BF69 - IF(AS69&gt;1, J69*AZ69*100.0/(AU69), 0))*(BM69+BN69)/1000.0</f>
        <v>0</v>
      </c>
      <c r="O69">
        <f>2.0/((1/Q69-1/P69)+SIGN(Q69)*SQRT((1/Q69-1/P69)*(1/Q69-1/P69) + 4*BA69/((BA69+1)*(BA69+1))*(2*1/Q69*1/P69-1/P69*1/P69)))</f>
        <v>0</v>
      </c>
      <c r="P69">
        <f>IF(LEFT(BB69,1)&lt;&gt;"0",IF(LEFT(BB69,1)="1",3.0,BC69),$D$5+$E$5*(BT69*BM69/($K$5*1000))+$F$5*(BT69*BM69/($K$5*1000))*MAX(MIN(AZ69,$J$5),$I$5)*MAX(MIN(AZ69,$J$5),$I$5)+$G$5*MAX(MIN(AZ69,$J$5),$I$5)*(BT69*BM69/($K$5*1000))+$H$5*(BT69*BM69/($K$5*1000))*(BT69*BM69/($K$5*1000)))</f>
        <v>0</v>
      </c>
      <c r="Q69">
        <f>H69*(1000-(1000*0.61365*exp(17.502*U69/(240.97+U69))/(BM69+BN69)+BH69)/2)/(1000*0.61365*exp(17.502*U69/(240.97+U69))/(BM69+BN69)-BH69)</f>
        <v>0</v>
      </c>
      <c r="R69">
        <f>1/((BA69+1)/(O69/1.6)+1/(P69/1.37)) + BA69/((BA69+1)/(O69/1.6) + BA69/(P69/1.37))</f>
        <v>0</v>
      </c>
      <c r="S69">
        <f>(AV69*AY69)</f>
        <v>0</v>
      </c>
      <c r="T69">
        <f>(BO69+(S69+2*0.95*5.67E-8*(((BO69+$B$7)+273)^4-(BO69+273)^4)-44100*H69)/(1.84*29.3*P69+8*0.95*5.67E-8*(BO69+273)^3))</f>
        <v>0</v>
      </c>
      <c r="U69">
        <f>($C$7*BP69+$D$7*BQ69+$E$7*T69)</f>
        <v>0</v>
      </c>
      <c r="V69">
        <f>0.61365*exp(17.502*U69/(240.97+U69))</f>
        <v>0</v>
      </c>
      <c r="W69">
        <f>(X69/Y69*100)</f>
        <v>0</v>
      </c>
      <c r="X69">
        <f>BH69*(BM69+BN69)/1000</f>
        <v>0</v>
      </c>
      <c r="Y69">
        <f>0.61365*exp(17.502*BO69/(240.97+BO69))</f>
        <v>0</v>
      </c>
      <c r="Z69">
        <f>(V69-BH69*(BM69+BN69)/1000)</f>
        <v>0</v>
      </c>
      <c r="AA69">
        <f>(-H69*44100)</f>
        <v>0</v>
      </c>
      <c r="AB69">
        <f>2*29.3*P69*0.92*(BO69-U69)</f>
        <v>0</v>
      </c>
      <c r="AC69">
        <f>2*0.95*5.67E-8*(((BO69+$B$7)+273)^4-(U69+273)^4)</f>
        <v>0</v>
      </c>
      <c r="AD69">
        <f>S69+AC69+AA69+AB69</f>
        <v>0</v>
      </c>
      <c r="AE69">
        <f>BL69*AS69*(BG69-BF69*(1000-AS69*BI69)/(1000-AS69*BH69))/(100*AZ69)</f>
        <v>0</v>
      </c>
      <c r="AF69">
        <f>1000*BL69*AS69*(BH69-BI69)/(100*AZ69*(1000-AS69*BH69))</f>
        <v>0</v>
      </c>
      <c r="AG69">
        <f>(AH69 - AI69 - BM69*1E3/(8.314*(BO69+273.15)) * AK69/BL69 * AJ69) * BL69/(100*AZ69) * (1000 - BI69)/1000</f>
        <v>0</v>
      </c>
      <c r="AH69">
        <v>410.6995862847699</v>
      </c>
      <c r="AI69">
        <v>402.907612121212</v>
      </c>
      <c r="AJ69">
        <v>-0.004768902481246309</v>
      </c>
      <c r="AK69">
        <v>66.95510016011595</v>
      </c>
      <c r="AL69">
        <f>(AN69 - AM69 + BM69*1E3/(8.314*(BO69+273.15)) * AP69/BL69 * AO69) * BL69/(100*AZ69) * 1000/(1000 - AN69)</f>
        <v>0</v>
      </c>
      <c r="AM69">
        <v>13.97616171476494</v>
      </c>
      <c r="AN69">
        <v>16.12063454545454</v>
      </c>
      <c r="AO69">
        <v>0.005498837226248552</v>
      </c>
      <c r="AP69">
        <v>79.25587443966721</v>
      </c>
      <c r="AQ69">
        <v>311</v>
      </c>
      <c r="AR69">
        <v>39</v>
      </c>
      <c r="AS69">
        <f>IF(AQ69*$H$13&gt;=AU69,1.0,(AU69/(AU69-AQ69*$H$13)))</f>
        <v>0</v>
      </c>
      <c r="AT69">
        <f>(AS69-1)*100</f>
        <v>0</v>
      </c>
      <c r="AU69">
        <f>MAX(0,($B$13+$C$13*BT69)/(1+$D$13*BT69)*BM69/(BO69+273)*$E$13)</f>
        <v>0</v>
      </c>
      <c r="AV69">
        <f>$B$11*BU69+$C$11*BV69+$F$11*CG69*(1-CJ69)</f>
        <v>0</v>
      </c>
      <c r="AW69">
        <f>AV69*AX69</f>
        <v>0</v>
      </c>
      <c r="AX69">
        <f>($B$11*$D$9+$C$11*$D$9+$F$11*((CT69+CL69)/MAX(CT69+CL69+CU69, 0.1)*$I$9+CU69/MAX(CT69+CL69+CU69, 0.1)*$J$9))/($B$11+$C$11+$F$11)</f>
        <v>0</v>
      </c>
      <c r="AY69">
        <f>($B$11*$K$9+$C$11*$K$9+$F$11*((CT69+CL69)/MAX(CT69+CL69+CU69, 0.1)*$P$9+CU69/MAX(CT69+CL69+CU69, 0.1)*$Q$9))/($B$11+$C$11+$F$11)</f>
        <v>0</v>
      </c>
      <c r="AZ69">
        <v>6</v>
      </c>
      <c r="BA69">
        <v>0.5</v>
      </c>
      <c r="BB69" t="s">
        <v>353</v>
      </c>
      <c r="BC69">
        <v>2</v>
      </c>
      <c r="BD69" t="b">
        <v>0</v>
      </c>
      <c r="BE69">
        <v>1750704013.25</v>
      </c>
      <c r="BF69">
        <v>396.4977</v>
      </c>
      <c r="BG69">
        <v>404.9892333333334</v>
      </c>
      <c r="BH69">
        <v>16.09418666666667</v>
      </c>
      <c r="BI69">
        <v>13.91473</v>
      </c>
      <c r="BJ69">
        <v>394.3527</v>
      </c>
      <c r="BK69">
        <v>15.93745666666666</v>
      </c>
      <c r="BL69">
        <v>799.9922333333332</v>
      </c>
      <c r="BM69">
        <v>101.5091333333333</v>
      </c>
      <c r="BN69">
        <v>0.1002626466666667</v>
      </c>
      <c r="BO69">
        <v>24.02611</v>
      </c>
      <c r="BP69">
        <v>23.34410666666667</v>
      </c>
      <c r="BQ69">
        <v>999.9000000000002</v>
      </c>
      <c r="BR69">
        <v>0</v>
      </c>
      <c r="BS69">
        <v>0</v>
      </c>
      <c r="BT69">
        <v>10002.684</v>
      </c>
      <c r="BU69">
        <v>0</v>
      </c>
      <c r="BV69">
        <v>0.00152894</v>
      </c>
      <c r="BW69">
        <v>-8.513267333333333</v>
      </c>
      <c r="BX69">
        <v>402.9612999999999</v>
      </c>
      <c r="BY69">
        <v>410.7040666666667</v>
      </c>
      <c r="BZ69">
        <v>2.179453333333333</v>
      </c>
      <c r="CA69">
        <v>404.9892333333334</v>
      </c>
      <c r="CB69">
        <v>13.91473</v>
      </c>
      <c r="CC69">
        <v>1.633707</v>
      </c>
      <c r="CD69">
        <v>1.412471666666667</v>
      </c>
      <c r="CE69">
        <v>14.28046</v>
      </c>
      <c r="CF69">
        <v>12.05212</v>
      </c>
      <c r="CG69">
        <v>1000.099333333333</v>
      </c>
      <c r="CH69">
        <v>0.9600019333333335</v>
      </c>
      <c r="CI69">
        <v>0.03999810666666667</v>
      </c>
      <c r="CJ69">
        <v>0</v>
      </c>
      <c r="CK69">
        <v>0.259</v>
      </c>
      <c r="CL69">
        <v>0</v>
      </c>
      <c r="CM69">
        <v>9413.303999999998</v>
      </c>
      <c r="CN69">
        <v>7947.710666666666</v>
      </c>
      <c r="CO69">
        <v>38.67893333333333</v>
      </c>
      <c r="CP69">
        <v>41.72059999999998</v>
      </c>
      <c r="CQ69">
        <v>40.02066666666666</v>
      </c>
      <c r="CR69">
        <v>41.66639999999999</v>
      </c>
      <c r="CS69">
        <v>38.64559999999999</v>
      </c>
      <c r="CT69">
        <v>960.0976666666666</v>
      </c>
      <c r="CU69">
        <v>40.00266666666666</v>
      </c>
      <c r="CV69">
        <v>0</v>
      </c>
      <c r="CW69">
        <v>1750704038</v>
      </c>
      <c r="CX69">
        <v>0</v>
      </c>
      <c r="CY69">
        <v>1750704038</v>
      </c>
      <c r="CZ69" t="s">
        <v>512</v>
      </c>
      <c r="DA69">
        <v>1750704038</v>
      </c>
      <c r="DB69">
        <v>1750703789.5</v>
      </c>
      <c r="DC69">
        <v>49</v>
      </c>
      <c r="DD69">
        <v>0.026</v>
      </c>
      <c r="DE69">
        <v>0.016</v>
      </c>
      <c r="DF69">
        <v>2.145</v>
      </c>
      <c r="DG69">
        <v>0.13</v>
      </c>
      <c r="DH69">
        <v>405</v>
      </c>
      <c r="DI69">
        <v>15</v>
      </c>
      <c r="DJ69">
        <v>0.14</v>
      </c>
      <c r="DK69">
        <v>0.07000000000000001</v>
      </c>
      <c r="DL69">
        <v>-8.499536000000001</v>
      </c>
      <c r="DM69">
        <v>-0.191855909943685</v>
      </c>
      <c r="DN69">
        <v>0.03094839865001089</v>
      </c>
      <c r="DO69">
        <v>0</v>
      </c>
      <c r="DP69">
        <v>2.21348475</v>
      </c>
      <c r="DQ69">
        <v>-0.6426057410881812</v>
      </c>
      <c r="DR69">
        <v>0.06325704608925002</v>
      </c>
      <c r="DS69">
        <v>0</v>
      </c>
      <c r="DT69">
        <v>0</v>
      </c>
      <c r="DU69">
        <v>2</v>
      </c>
      <c r="DV69" t="s">
        <v>372</v>
      </c>
      <c r="DW69">
        <v>3.44804</v>
      </c>
      <c r="DX69">
        <v>2.78115</v>
      </c>
      <c r="DY69">
        <v>0.09645280000000001</v>
      </c>
      <c r="DZ69">
        <v>0.09836449999999999</v>
      </c>
      <c r="EA69">
        <v>0.0902348</v>
      </c>
      <c r="EB69">
        <v>0.0812301</v>
      </c>
      <c r="EC69">
        <v>27322.3</v>
      </c>
      <c r="ED69">
        <v>31031.1</v>
      </c>
      <c r="EE69">
        <v>29364.9</v>
      </c>
      <c r="EF69">
        <v>34996.6</v>
      </c>
      <c r="EG69">
        <v>30897</v>
      </c>
      <c r="EH69">
        <v>39939.6</v>
      </c>
      <c r="EI69">
        <v>36153.6</v>
      </c>
      <c r="EJ69">
        <v>46354.5</v>
      </c>
      <c r="EK69">
        <v>2.01128</v>
      </c>
      <c r="EL69">
        <v>2.27667</v>
      </c>
      <c r="EM69">
        <v>0.0765808</v>
      </c>
      <c r="EN69">
        <v>0</v>
      </c>
      <c r="EO69">
        <v>22.1103</v>
      </c>
      <c r="EP69">
        <v>999.9</v>
      </c>
      <c r="EQ69">
        <v>54.1</v>
      </c>
      <c r="ER69">
        <v>25.9</v>
      </c>
      <c r="ES69">
        <v>17.8771</v>
      </c>
      <c r="ET69">
        <v>61.6764</v>
      </c>
      <c r="EU69">
        <v>26.27</v>
      </c>
      <c r="EV69">
        <v>2</v>
      </c>
      <c r="EW69">
        <v>-0.420089</v>
      </c>
      <c r="EX69">
        <v>0</v>
      </c>
      <c r="EY69">
        <v>20.2924</v>
      </c>
      <c r="EZ69">
        <v>5.21489</v>
      </c>
      <c r="FA69">
        <v>11.9697</v>
      </c>
      <c r="FB69">
        <v>4.99185</v>
      </c>
      <c r="FC69">
        <v>3.272</v>
      </c>
      <c r="FD69">
        <v>2909.6</v>
      </c>
      <c r="FE69">
        <v>9999</v>
      </c>
      <c r="FF69">
        <v>9999</v>
      </c>
      <c r="FG69">
        <v>999.9</v>
      </c>
      <c r="FH69">
        <v>4.97251</v>
      </c>
      <c r="FI69">
        <v>1.86259</v>
      </c>
      <c r="FJ69">
        <v>1.86439</v>
      </c>
      <c r="FK69">
        <v>1.86279</v>
      </c>
      <c r="FL69">
        <v>1.86281</v>
      </c>
      <c r="FM69">
        <v>1.8634</v>
      </c>
      <c r="FN69">
        <v>1.85989</v>
      </c>
      <c r="FO69">
        <v>1.86268</v>
      </c>
      <c r="FP69">
        <v>0</v>
      </c>
      <c r="FQ69">
        <v>0</v>
      </c>
      <c r="FR69">
        <v>0</v>
      </c>
      <c r="FS69">
        <v>0</v>
      </c>
      <c r="FT69" t="s">
        <v>356</v>
      </c>
      <c r="FU69" t="s">
        <v>357</v>
      </c>
      <c r="FV69" t="s">
        <v>358</v>
      </c>
      <c r="FW69" t="s">
        <v>358</v>
      </c>
      <c r="FX69" t="s">
        <v>358</v>
      </c>
      <c r="FY69" t="s">
        <v>358</v>
      </c>
      <c r="FZ69">
        <v>0</v>
      </c>
      <c r="GA69">
        <v>100</v>
      </c>
      <c r="GB69">
        <v>100</v>
      </c>
      <c r="GC69">
        <v>2.145</v>
      </c>
      <c r="GD69">
        <v>0.1578</v>
      </c>
      <c r="GE69">
        <v>2.40280055955049</v>
      </c>
      <c r="GF69">
        <v>-0.001033730503750798</v>
      </c>
      <c r="GG69">
        <v>9.120241388950126E-07</v>
      </c>
      <c r="GH69">
        <v>-2.246115299815222E-10</v>
      </c>
      <c r="GI69">
        <v>-0.008124939539729842</v>
      </c>
      <c r="GJ69">
        <v>-0.01814858093373864</v>
      </c>
      <c r="GK69">
        <v>0.002091959988359369</v>
      </c>
      <c r="GL69">
        <v>-1.90871700788604E-05</v>
      </c>
      <c r="GM69">
        <v>2</v>
      </c>
      <c r="GN69">
        <v>2210</v>
      </c>
      <c r="GO69">
        <v>1</v>
      </c>
      <c r="GP69">
        <v>26</v>
      </c>
      <c r="GQ69">
        <v>1.9</v>
      </c>
      <c r="GR69">
        <v>3.9</v>
      </c>
      <c r="GS69">
        <v>1.26343</v>
      </c>
      <c r="GT69">
        <v>2.38525</v>
      </c>
      <c r="GU69">
        <v>2.34741</v>
      </c>
      <c r="GV69">
        <v>2.74902</v>
      </c>
      <c r="GW69">
        <v>2.39868</v>
      </c>
      <c r="GX69">
        <v>2.27051</v>
      </c>
      <c r="GY69">
        <v>30.2005</v>
      </c>
      <c r="GZ69">
        <v>12.3721</v>
      </c>
      <c r="HA69">
        <v>18</v>
      </c>
      <c r="HB69">
        <v>445.469</v>
      </c>
      <c r="HC69">
        <v>653.991</v>
      </c>
      <c r="HD69">
        <v>22.9748</v>
      </c>
      <c r="HE69">
        <v>21.9562</v>
      </c>
      <c r="HF69">
        <v>30.0006</v>
      </c>
      <c r="HG69">
        <v>21.8194</v>
      </c>
      <c r="HH69">
        <v>21.765</v>
      </c>
      <c r="HI69">
        <v>25.3382</v>
      </c>
      <c r="HJ69">
        <v>26.0774</v>
      </c>
      <c r="HK69">
        <v>1.15531</v>
      </c>
      <c r="HL69">
        <v>-999.9</v>
      </c>
      <c r="HM69">
        <v>405</v>
      </c>
      <c r="HN69">
        <v>14.0806</v>
      </c>
      <c r="HO69">
        <v>100.831</v>
      </c>
      <c r="HP69">
        <v>101.188</v>
      </c>
    </row>
    <row r="70" spans="1:224">
      <c r="A70">
        <v>54</v>
      </c>
      <c r="B70">
        <v>1750704134</v>
      </c>
      <c r="C70">
        <v>9270.900000095367</v>
      </c>
      <c r="D70" t="s">
        <v>513</v>
      </c>
      <c r="E70" t="s">
        <v>514</v>
      </c>
      <c r="F70">
        <v>15</v>
      </c>
      <c r="G70">
        <v>1750704126</v>
      </c>
      <c r="H70">
        <f>(I70)/1000</f>
        <v>0</v>
      </c>
      <c r="I70">
        <f>IF(BD70, AL70, AF70)</f>
        <v>0</v>
      </c>
      <c r="J70">
        <f>IF(BD70, AG70, AE70)</f>
        <v>0</v>
      </c>
      <c r="K70">
        <f>BF70 - IF(AS70&gt;1, J70*AZ70*100.0/(AU70), 0)</f>
        <v>0</v>
      </c>
      <c r="L70">
        <f>((R70-H70/2)*K70-J70)/(R70+H70/2)</f>
        <v>0</v>
      </c>
      <c r="M70">
        <f>L70*(BM70+BN70)/1000.0</f>
        <v>0</v>
      </c>
      <c r="N70">
        <f>(BF70 - IF(AS70&gt;1, J70*AZ70*100.0/(AU70), 0))*(BM70+BN70)/1000.0</f>
        <v>0</v>
      </c>
      <c r="O70">
        <f>2.0/((1/Q70-1/P70)+SIGN(Q70)*SQRT((1/Q70-1/P70)*(1/Q70-1/P70) + 4*BA70/((BA70+1)*(BA70+1))*(2*1/Q70*1/P70-1/P70*1/P70)))</f>
        <v>0</v>
      </c>
      <c r="P70">
        <f>IF(LEFT(BB70,1)&lt;&gt;"0",IF(LEFT(BB70,1)="1",3.0,BC70),$D$5+$E$5*(BT70*BM70/($K$5*1000))+$F$5*(BT70*BM70/($K$5*1000))*MAX(MIN(AZ70,$J$5),$I$5)*MAX(MIN(AZ70,$J$5),$I$5)+$G$5*MAX(MIN(AZ70,$J$5),$I$5)*(BT70*BM70/($K$5*1000))+$H$5*(BT70*BM70/($K$5*1000))*(BT70*BM70/($K$5*1000)))</f>
        <v>0</v>
      </c>
      <c r="Q70">
        <f>H70*(1000-(1000*0.61365*exp(17.502*U70/(240.97+U70))/(BM70+BN70)+BH70)/2)/(1000*0.61365*exp(17.502*U70/(240.97+U70))/(BM70+BN70)-BH70)</f>
        <v>0</v>
      </c>
      <c r="R70">
        <f>1/((BA70+1)/(O70/1.6)+1/(P70/1.37)) + BA70/((BA70+1)/(O70/1.6) + BA70/(P70/1.37))</f>
        <v>0</v>
      </c>
      <c r="S70">
        <f>(AV70*AY70)</f>
        <v>0</v>
      </c>
      <c r="T70">
        <f>(BO70+(S70+2*0.95*5.67E-8*(((BO70+$B$7)+273)^4-(BO70+273)^4)-44100*H70)/(1.84*29.3*P70+8*0.95*5.67E-8*(BO70+273)^3))</f>
        <v>0</v>
      </c>
      <c r="U70">
        <f>($C$7*BP70+$D$7*BQ70+$E$7*T70)</f>
        <v>0</v>
      </c>
      <c r="V70">
        <f>0.61365*exp(17.502*U70/(240.97+U70))</f>
        <v>0</v>
      </c>
      <c r="W70">
        <f>(X70/Y70*100)</f>
        <v>0</v>
      </c>
      <c r="X70">
        <f>BH70*(BM70+BN70)/1000</f>
        <v>0</v>
      </c>
      <c r="Y70">
        <f>0.61365*exp(17.502*BO70/(240.97+BO70))</f>
        <v>0</v>
      </c>
      <c r="Z70">
        <f>(V70-BH70*(BM70+BN70)/1000)</f>
        <v>0</v>
      </c>
      <c r="AA70">
        <f>(-H70*44100)</f>
        <v>0</v>
      </c>
      <c r="AB70">
        <f>2*29.3*P70*0.92*(BO70-U70)</f>
        <v>0</v>
      </c>
      <c r="AC70">
        <f>2*0.95*5.67E-8*(((BO70+$B$7)+273)^4-(U70+273)^4)</f>
        <v>0</v>
      </c>
      <c r="AD70">
        <f>S70+AC70+AA70+AB70</f>
        <v>0</v>
      </c>
      <c r="AE70">
        <f>BL70*AS70*(BG70-BF70*(1000-AS70*BI70)/(1000-AS70*BH70))/(100*AZ70)</f>
        <v>0</v>
      </c>
      <c r="AF70">
        <f>1000*BL70*AS70*(BH70-BI70)/(100*AZ70*(1000-AS70*BH70))</f>
        <v>0</v>
      </c>
      <c r="AG70">
        <f>(AH70 - AI70 - BM70*1E3/(8.314*(BO70+273.15)) * AK70/BL70 * AJ70) * BL70/(100*AZ70) * (1000 - BI70)/1000</f>
        <v>0</v>
      </c>
      <c r="AH70">
        <v>411.0206390301335</v>
      </c>
      <c r="AI70">
        <v>407.5751636363637</v>
      </c>
      <c r="AJ70">
        <v>0.005887682420735276</v>
      </c>
      <c r="AK70">
        <v>66.95411552082311</v>
      </c>
      <c r="AL70">
        <f>(AN70 - AM70 + BM70*1E3/(8.314*(BO70+273.15)) * AP70/BL70 * AO70) * BL70/(100*AZ70) * 1000/(1000 - AN70)</f>
        <v>0</v>
      </c>
      <c r="AM70">
        <v>14.66489319792608</v>
      </c>
      <c r="AN70">
        <v>16.28629272727272</v>
      </c>
      <c r="AO70">
        <v>0.005817639674955598</v>
      </c>
      <c r="AP70">
        <v>79.23346609357732</v>
      </c>
      <c r="AQ70">
        <v>317</v>
      </c>
      <c r="AR70">
        <v>40</v>
      </c>
      <c r="AS70">
        <f>IF(AQ70*$H$13&gt;=AU70,1.0,(AU70/(AU70-AQ70*$H$13)))</f>
        <v>0</v>
      </c>
      <c r="AT70">
        <f>(AS70-1)*100</f>
        <v>0</v>
      </c>
      <c r="AU70">
        <f>MAX(0,($B$13+$C$13*BT70)/(1+$D$13*BT70)*BM70/(BO70+273)*$E$13)</f>
        <v>0</v>
      </c>
      <c r="AV70">
        <f>$B$11*BU70+$C$11*BV70+$F$11*CG70*(1-CJ70)</f>
        <v>0</v>
      </c>
      <c r="AW70">
        <f>AV70*AX70</f>
        <v>0</v>
      </c>
      <c r="AX70">
        <f>($B$11*$D$9+$C$11*$D$9+$F$11*((CT70+CL70)/MAX(CT70+CL70+CU70, 0.1)*$I$9+CU70/MAX(CT70+CL70+CU70, 0.1)*$J$9))/($B$11+$C$11+$F$11)</f>
        <v>0</v>
      </c>
      <c r="AY70">
        <f>($B$11*$K$9+$C$11*$K$9+$F$11*((CT70+CL70)/MAX(CT70+CL70+CU70, 0.1)*$P$9+CU70/MAX(CT70+CL70+CU70, 0.1)*$Q$9))/($B$11+$C$11+$F$11)</f>
        <v>0</v>
      </c>
      <c r="AZ70">
        <v>6</v>
      </c>
      <c r="BA70">
        <v>0.5</v>
      </c>
      <c r="BB70" t="s">
        <v>353</v>
      </c>
      <c r="BC70">
        <v>2</v>
      </c>
      <c r="BD70" t="b">
        <v>0</v>
      </c>
      <c r="BE70">
        <v>1750704126</v>
      </c>
      <c r="BF70">
        <v>400.8395483870968</v>
      </c>
      <c r="BG70">
        <v>404.9946774193548</v>
      </c>
      <c r="BH70">
        <v>16.23864193548387</v>
      </c>
      <c r="BI70">
        <v>14.62555806451613</v>
      </c>
      <c r="BJ70">
        <v>398.7605483870968</v>
      </c>
      <c r="BK70">
        <v>16.07713548387097</v>
      </c>
      <c r="BL70">
        <v>800.0099032258065</v>
      </c>
      <c r="BM70">
        <v>101.4976129032258</v>
      </c>
      <c r="BN70">
        <v>0.1001568838709677</v>
      </c>
      <c r="BO70">
        <v>24.15284193548387</v>
      </c>
      <c r="BP70">
        <v>23.82516451612903</v>
      </c>
      <c r="BQ70">
        <v>999.9000000000003</v>
      </c>
      <c r="BR70">
        <v>0</v>
      </c>
      <c r="BS70">
        <v>0</v>
      </c>
      <c r="BT70">
        <v>10006.69096774194</v>
      </c>
      <c r="BU70">
        <v>0</v>
      </c>
      <c r="BV70">
        <v>0.00152894</v>
      </c>
      <c r="BW70">
        <v>-4.087145806451614</v>
      </c>
      <c r="BX70">
        <v>407.5251290322581</v>
      </c>
      <c r="BY70">
        <v>411.0058064516129</v>
      </c>
      <c r="BZ70">
        <v>1.613086774193549</v>
      </c>
      <c r="CA70">
        <v>404.9946774193548</v>
      </c>
      <c r="CB70">
        <v>14.62555806451613</v>
      </c>
      <c r="CC70">
        <v>1.648183870967742</v>
      </c>
      <c r="CD70">
        <v>1.484459677419355</v>
      </c>
      <c r="CE70">
        <v>14.41680322580645</v>
      </c>
      <c r="CF70">
        <v>12.80901290322581</v>
      </c>
      <c r="CG70">
        <v>1000.005225806452</v>
      </c>
      <c r="CH70">
        <v>0.9599970000000003</v>
      </c>
      <c r="CI70">
        <v>0.0400026</v>
      </c>
      <c r="CJ70">
        <v>0</v>
      </c>
      <c r="CK70">
        <v>0.2312903225806452</v>
      </c>
      <c r="CL70">
        <v>0</v>
      </c>
      <c r="CM70">
        <v>7850.721290322581</v>
      </c>
      <c r="CN70">
        <v>7946.947741935483</v>
      </c>
      <c r="CO70">
        <v>36.14696774193548</v>
      </c>
      <c r="CP70">
        <v>38.4614193548387</v>
      </c>
      <c r="CQ70">
        <v>37.51390322580645</v>
      </c>
      <c r="CR70">
        <v>37.51796774193549</v>
      </c>
      <c r="CS70">
        <v>36.34651612903226</v>
      </c>
      <c r="CT70">
        <v>960.0025806451612</v>
      </c>
      <c r="CU70">
        <v>40.00129032258064</v>
      </c>
      <c r="CV70">
        <v>0</v>
      </c>
      <c r="CW70">
        <v>1750704150.8</v>
      </c>
      <c r="CX70">
        <v>0</v>
      </c>
      <c r="CY70">
        <v>1750704150.5</v>
      </c>
      <c r="CZ70" t="s">
        <v>515</v>
      </c>
      <c r="DA70">
        <v>1750704150.5</v>
      </c>
      <c r="DB70">
        <v>1750703789.5</v>
      </c>
      <c r="DC70">
        <v>50</v>
      </c>
      <c r="DD70">
        <v>-0.066</v>
      </c>
      <c r="DE70">
        <v>0.016</v>
      </c>
      <c r="DF70">
        <v>2.079</v>
      </c>
      <c r="DG70">
        <v>0.13</v>
      </c>
      <c r="DH70">
        <v>405</v>
      </c>
      <c r="DI70">
        <v>15</v>
      </c>
      <c r="DJ70">
        <v>0.31</v>
      </c>
      <c r="DK70">
        <v>0.07000000000000001</v>
      </c>
      <c r="DL70">
        <v>-4.07966275</v>
      </c>
      <c r="DM70">
        <v>-0.08477572232645107</v>
      </c>
      <c r="DN70">
        <v>0.02576237760645354</v>
      </c>
      <c r="DO70">
        <v>1</v>
      </c>
      <c r="DP70">
        <v>1.598609</v>
      </c>
      <c r="DQ70">
        <v>0.2242509568480303</v>
      </c>
      <c r="DR70">
        <v>0.02819811942311048</v>
      </c>
      <c r="DS70">
        <v>0</v>
      </c>
      <c r="DT70">
        <v>1</v>
      </c>
      <c r="DU70">
        <v>2</v>
      </c>
      <c r="DV70" t="s">
        <v>355</v>
      </c>
      <c r="DW70">
        <v>3.44822</v>
      </c>
      <c r="DX70">
        <v>2.78113</v>
      </c>
      <c r="DY70">
        <v>0.0972436</v>
      </c>
      <c r="DZ70">
        <v>0.0983385</v>
      </c>
      <c r="EA70">
        <v>0.0908529</v>
      </c>
      <c r="EB70">
        <v>0.0840837</v>
      </c>
      <c r="EC70">
        <v>27290.4</v>
      </c>
      <c r="ED70">
        <v>31023.1</v>
      </c>
      <c r="EE70">
        <v>29356.8</v>
      </c>
      <c r="EF70">
        <v>34987.3</v>
      </c>
      <c r="EG70">
        <v>30866.5</v>
      </c>
      <c r="EH70">
        <v>39803.8</v>
      </c>
      <c r="EI70">
        <v>36142.5</v>
      </c>
      <c r="EJ70">
        <v>46341.1</v>
      </c>
      <c r="EK70">
        <v>1.99603</v>
      </c>
      <c r="EL70">
        <v>2.27367</v>
      </c>
      <c r="EM70">
        <v>0.0910759</v>
      </c>
      <c r="EN70">
        <v>0</v>
      </c>
      <c r="EO70">
        <v>22.3665</v>
      </c>
      <c r="EP70">
        <v>999.9</v>
      </c>
      <c r="EQ70">
        <v>54.2</v>
      </c>
      <c r="ER70">
        <v>26</v>
      </c>
      <c r="ES70">
        <v>18.0182</v>
      </c>
      <c r="ET70">
        <v>61.4764</v>
      </c>
      <c r="EU70">
        <v>26.2139</v>
      </c>
      <c r="EV70">
        <v>2</v>
      </c>
      <c r="EW70">
        <v>-0.406809</v>
      </c>
      <c r="EX70">
        <v>0</v>
      </c>
      <c r="EY70">
        <v>20.2925</v>
      </c>
      <c r="EZ70">
        <v>5.2122</v>
      </c>
      <c r="FA70">
        <v>11.9691</v>
      </c>
      <c r="FB70">
        <v>4.99165</v>
      </c>
      <c r="FC70">
        <v>3.272</v>
      </c>
      <c r="FD70">
        <v>2912.9</v>
      </c>
      <c r="FE70">
        <v>9999</v>
      </c>
      <c r="FF70">
        <v>9999</v>
      </c>
      <c r="FG70">
        <v>999.9</v>
      </c>
      <c r="FH70">
        <v>4.97254</v>
      </c>
      <c r="FI70">
        <v>1.86263</v>
      </c>
      <c r="FJ70">
        <v>1.86436</v>
      </c>
      <c r="FK70">
        <v>1.86279</v>
      </c>
      <c r="FL70">
        <v>1.86284</v>
      </c>
      <c r="FM70">
        <v>1.8634</v>
      </c>
      <c r="FN70">
        <v>1.85989</v>
      </c>
      <c r="FO70">
        <v>1.86274</v>
      </c>
      <c r="FP70">
        <v>0</v>
      </c>
      <c r="FQ70">
        <v>0</v>
      </c>
      <c r="FR70">
        <v>0</v>
      </c>
      <c r="FS70">
        <v>0</v>
      </c>
      <c r="FT70" t="s">
        <v>356</v>
      </c>
      <c r="FU70" t="s">
        <v>357</v>
      </c>
      <c r="FV70" t="s">
        <v>358</v>
      </c>
      <c r="FW70" t="s">
        <v>358</v>
      </c>
      <c r="FX70" t="s">
        <v>358</v>
      </c>
      <c r="FY70" t="s">
        <v>358</v>
      </c>
      <c r="FZ70">
        <v>0</v>
      </c>
      <c r="GA70">
        <v>100</v>
      </c>
      <c r="GB70">
        <v>100</v>
      </c>
      <c r="GC70">
        <v>2.079</v>
      </c>
      <c r="GD70">
        <v>0.1632</v>
      </c>
      <c r="GE70">
        <v>2.42834400861369</v>
      </c>
      <c r="GF70">
        <v>-0.001033730503750798</v>
      </c>
      <c r="GG70">
        <v>9.120241388950126E-07</v>
      </c>
      <c r="GH70">
        <v>-2.246115299815222E-10</v>
      </c>
      <c r="GI70">
        <v>-0.008124939539729842</v>
      </c>
      <c r="GJ70">
        <v>-0.01814858093373864</v>
      </c>
      <c r="GK70">
        <v>0.002091959988359369</v>
      </c>
      <c r="GL70">
        <v>-1.90871700788604E-05</v>
      </c>
      <c r="GM70">
        <v>2</v>
      </c>
      <c r="GN70">
        <v>2210</v>
      </c>
      <c r="GO70">
        <v>1</v>
      </c>
      <c r="GP70">
        <v>26</v>
      </c>
      <c r="GQ70">
        <v>1.6</v>
      </c>
      <c r="GR70">
        <v>5.7</v>
      </c>
      <c r="GS70">
        <v>1.26343</v>
      </c>
      <c r="GT70">
        <v>2.3877</v>
      </c>
      <c r="GU70">
        <v>2.34741</v>
      </c>
      <c r="GV70">
        <v>2.74902</v>
      </c>
      <c r="GW70">
        <v>2.39868</v>
      </c>
      <c r="GX70">
        <v>2.28882</v>
      </c>
      <c r="GY70">
        <v>30.3509</v>
      </c>
      <c r="GZ70">
        <v>12.2845</v>
      </c>
      <c r="HA70">
        <v>18</v>
      </c>
      <c r="HB70">
        <v>438.722</v>
      </c>
      <c r="HC70">
        <v>653.5</v>
      </c>
      <c r="HD70">
        <v>23.1332</v>
      </c>
      <c r="HE70">
        <v>22.1248</v>
      </c>
      <c r="HF70">
        <v>30.0006</v>
      </c>
      <c r="HG70">
        <v>21.972</v>
      </c>
      <c r="HH70">
        <v>21.9131</v>
      </c>
      <c r="HI70">
        <v>25.3433</v>
      </c>
      <c r="HJ70">
        <v>23.3664</v>
      </c>
      <c r="HK70">
        <v>0.939226</v>
      </c>
      <c r="HL70">
        <v>-999.9</v>
      </c>
      <c r="HM70">
        <v>405</v>
      </c>
      <c r="HN70">
        <v>14.7114</v>
      </c>
      <c r="HO70">
        <v>100.801</v>
      </c>
      <c r="HP70">
        <v>101.159</v>
      </c>
    </row>
    <row r="71" spans="1:224">
      <c r="A71">
        <v>55</v>
      </c>
      <c r="B71">
        <v>1750704242.5</v>
      </c>
      <c r="C71">
        <v>9379.400000095367</v>
      </c>
      <c r="D71" t="s">
        <v>516</v>
      </c>
      <c r="E71" t="s">
        <v>517</v>
      </c>
      <c r="F71">
        <v>15</v>
      </c>
      <c r="G71">
        <v>1750704234.5</v>
      </c>
      <c r="H71">
        <f>(I71)/1000</f>
        <v>0</v>
      </c>
      <c r="I71">
        <f>IF(BD71, AL71, AF71)</f>
        <v>0</v>
      </c>
      <c r="J71">
        <f>IF(BD71, AG71, AE71)</f>
        <v>0</v>
      </c>
      <c r="K71">
        <f>BF71 - IF(AS71&gt;1, J71*AZ71*100.0/(AU71), 0)</f>
        <v>0</v>
      </c>
      <c r="L71">
        <f>((R71-H71/2)*K71-J71)/(R71+H71/2)</f>
        <v>0</v>
      </c>
      <c r="M71">
        <f>L71*(BM71+BN71)/1000.0</f>
        <v>0</v>
      </c>
      <c r="N71">
        <f>(BF71 - IF(AS71&gt;1, J71*AZ71*100.0/(AU71), 0))*(BM71+BN71)/1000.0</f>
        <v>0</v>
      </c>
      <c r="O71">
        <f>2.0/((1/Q71-1/P71)+SIGN(Q71)*SQRT((1/Q71-1/P71)*(1/Q71-1/P71) + 4*BA71/((BA71+1)*(BA71+1))*(2*1/Q71*1/P71-1/P71*1/P71)))</f>
        <v>0</v>
      </c>
      <c r="P71">
        <f>IF(LEFT(BB71,1)&lt;&gt;"0",IF(LEFT(BB71,1)="1",3.0,BC71),$D$5+$E$5*(BT71*BM71/($K$5*1000))+$F$5*(BT71*BM71/($K$5*1000))*MAX(MIN(AZ71,$J$5),$I$5)*MAX(MIN(AZ71,$J$5),$I$5)+$G$5*MAX(MIN(AZ71,$J$5),$I$5)*(BT71*BM71/($K$5*1000))+$H$5*(BT71*BM71/($K$5*1000))*(BT71*BM71/($K$5*1000)))</f>
        <v>0</v>
      </c>
      <c r="Q71">
        <f>H71*(1000-(1000*0.61365*exp(17.502*U71/(240.97+U71))/(BM71+BN71)+BH71)/2)/(1000*0.61365*exp(17.502*U71/(240.97+U71))/(BM71+BN71)-BH71)</f>
        <v>0</v>
      </c>
      <c r="R71">
        <f>1/((BA71+1)/(O71/1.6)+1/(P71/1.37)) + BA71/((BA71+1)/(O71/1.6) + BA71/(P71/1.37))</f>
        <v>0</v>
      </c>
      <c r="S71">
        <f>(AV71*AY71)</f>
        <v>0</v>
      </c>
      <c r="T71">
        <f>(BO71+(S71+2*0.95*5.67E-8*(((BO71+$B$7)+273)^4-(BO71+273)^4)-44100*H71)/(1.84*29.3*P71+8*0.95*5.67E-8*(BO71+273)^3))</f>
        <v>0</v>
      </c>
      <c r="U71">
        <f>($C$7*BP71+$D$7*BQ71+$E$7*T71)</f>
        <v>0</v>
      </c>
      <c r="V71">
        <f>0.61365*exp(17.502*U71/(240.97+U71))</f>
        <v>0</v>
      </c>
      <c r="W71">
        <f>(X71/Y71*100)</f>
        <v>0</v>
      </c>
      <c r="X71">
        <f>BH71*(BM71+BN71)/1000</f>
        <v>0</v>
      </c>
      <c r="Y71">
        <f>0.61365*exp(17.502*BO71/(240.97+BO71))</f>
        <v>0</v>
      </c>
      <c r="Z71">
        <f>(V71-BH71*(BM71+BN71)/1000)</f>
        <v>0</v>
      </c>
      <c r="AA71">
        <f>(-H71*44100)</f>
        <v>0</v>
      </c>
      <c r="AB71">
        <f>2*29.3*P71*0.92*(BO71-U71)</f>
        <v>0</v>
      </c>
      <c r="AC71">
        <f>2*0.95*5.67E-8*(((BO71+$B$7)+273)^4-(U71+273)^4)</f>
        <v>0</v>
      </c>
      <c r="AD71">
        <f>S71+AC71+AA71+AB71</f>
        <v>0</v>
      </c>
      <c r="AE71">
        <f>BL71*AS71*(BG71-BF71*(1000-AS71*BI71)/(1000-AS71*BH71))/(100*AZ71)</f>
        <v>0</v>
      </c>
      <c r="AF71">
        <f>1000*BL71*AS71*(BH71-BI71)/(100*AZ71*(1000-AS71*BH71))</f>
        <v>0</v>
      </c>
      <c r="AG71">
        <f>(AH71 - AI71 - BM71*1E3/(8.314*(BO71+273.15)) * AK71/BL71 * AJ71) * BL71/(100*AZ71) * (1000 - BI71)/1000</f>
        <v>0</v>
      </c>
      <c r="AH71">
        <v>411.2295758798451</v>
      </c>
      <c r="AI71">
        <v>404.5898727272727</v>
      </c>
      <c r="AJ71">
        <v>-0.0001271685853283662</v>
      </c>
      <c r="AK71">
        <v>66.95246806758166</v>
      </c>
      <c r="AL71">
        <f>(AN71 - AM71 + BM71*1E3/(8.314*(BO71+273.15)) * AP71/BL71 * AO71) * BL71/(100*AZ71) * 1000/(1000 - AN71)</f>
        <v>0</v>
      </c>
      <c r="AM71">
        <v>15.15765781726906</v>
      </c>
      <c r="AN71">
        <v>16.45432606060605</v>
      </c>
      <c r="AO71">
        <v>0.001549603266715222</v>
      </c>
      <c r="AP71">
        <v>79.30425095422446</v>
      </c>
      <c r="AQ71">
        <v>318</v>
      </c>
      <c r="AR71">
        <v>40</v>
      </c>
      <c r="AS71">
        <f>IF(AQ71*$H$13&gt;=AU71,1.0,(AU71/(AU71-AQ71*$H$13)))</f>
        <v>0</v>
      </c>
      <c r="AT71">
        <f>(AS71-1)*100</f>
        <v>0</v>
      </c>
      <c r="AU71">
        <f>MAX(0,($B$13+$C$13*BT71)/(1+$D$13*BT71)*BM71/(BO71+273)*$E$13)</f>
        <v>0</v>
      </c>
      <c r="AV71">
        <f>$B$11*BU71+$C$11*BV71+$F$11*CG71*(1-CJ71)</f>
        <v>0</v>
      </c>
      <c r="AW71">
        <f>AV71*AX71</f>
        <v>0</v>
      </c>
      <c r="AX71">
        <f>($B$11*$D$9+$C$11*$D$9+$F$11*((CT71+CL71)/MAX(CT71+CL71+CU71, 0.1)*$I$9+CU71/MAX(CT71+CL71+CU71, 0.1)*$J$9))/($B$11+$C$11+$F$11)</f>
        <v>0</v>
      </c>
      <c r="AY71">
        <f>($B$11*$K$9+$C$11*$K$9+$F$11*((CT71+CL71)/MAX(CT71+CL71+CU71, 0.1)*$P$9+CU71/MAX(CT71+CL71+CU71, 0.1)*$Q$9))/($B$11+$C$11+$F$11)</f>
        <v>0</v>
      </c>
      <c r="AZ71">
        <v>6</v>
      </c>
      <c r="BA71">
        <v>0.5</v>
      </c>
      <c r="BB71" t="s">
        <v>353</v>
      </c>
      <c r="BC71">
        <v>2</v>
      </c>
      <c r="BD71" t="b">
        <v>0</v>
      </c>
      <c r="BE71">
        <v>1750704234.5</v>
      </c>
      <c r="BF71">
        <v>397.8847741935484</v>
      </c>
      <c r="BG71">
        <v>404.989129032258</v>
      </c>
      <c r="BH71">
        <v>16.40819677419355</v>
      </c>
      <c r="BI71">
        <v>15.1480935483871</v>
      </c>
      <c r="BJ71">
        <v>395.8077741935484</v>
      </c>
      <c r="BK71">
        <v>16.24101935483871</v>
      </c>
      <c r="BL71">
        <v>799.9966774193549</v>
      </c>
      <c r="BM71">
        <v>101.4986774193548</v>
      </c>
      <c r="BN71">
        <v>0.1003109935483871</v>
      </c>
      <c r="BO71">
        <v>24.32247419354839</v>
      </c>
      <c r="BP71">
        <v>24.43161612903226</v>
      </c>
      <c r="BQ71">
        <v>999.9000000000003</v>
      </c>
      <c r="BR71">
        <v>0</v>
      </c>
      <c r="BS71">
        <v>0</v>
      </c>
      <c r="BT71">
        <v>9995.929032258065</v>
      </c>
      <c r="BU71">
        <v>0</v>
      </c>
      <c r="BV71">
        <v>0.00152894</v>
      </c>
      <c r="BW71">
        <v>-7.098797741935483</v>
      </c>
      <c r="BX71">
        <v>404.5278387096774</v>
      </c>
      <c r="BY71">
        <v>411.2182580645161</v>
      </c>
      <c r="BZ71">
        <v>1.260090322580645</v>
      </c>
      <c r="CA71">
        <v>404.989129032258</v>
      </c>
      <c r="CB71">
        <v>15.1480935483871</v>
      </c>
      <c r="CC71">
        <v>1.665409032258064</v>
      </c>
      <c r="CD71">
        <v>1.537512258064516</v>
      </c>
      <c r="CE71">
        <v>14.57767741935483</v>
      </c>
      <c r="CF71">
        <v>13.34639354838709</v>
      </c>
      <c r="CG71">
        <v>1000.019161290323</v>
      </c>
      <c r="CH71">
        <v>0.9600012258064514</v>
      </c>
      <c r="CI71">
        <v>0.03999841612903226</v>
      </c>
      <c r="CJ71">
        <v>0</v>
      </c>
      <c r="CK71">
        <v>2.642741935483871</v>
      </c>
      <c r="CL71">
        <v>0</v>
      </c>
      <c r="CM71">
        <v>9144.578387096773</v>
      </c>
      <c r="CN71">
        <v>7947.070322580645</v>
      </c>
      <c r="CO71">
        <v>36.46954838709676</v>
      </c>
      <c r="CP71">
        <v>39.80016129032257</v>
      </c>
      <c r="CQ71">
        <v>37.93129032258064</v>
      </c>
      <c r="CR71">
        <v>38.69325806451612</v>
      </c>
      <c r="CS71">
        <v>36.69335483870967</v>
      </c>
      <c r="CT71">
        <v>960.0193548387097</v>
      </c>
      <c r="CU71">
        <v>40</v>
      </c>
      <c r="CV71">
        <v>0</v>
      </c>
      <c r="CW71">
        <v>1750704259.4</v>
      </c>
      <c r="CX71">
        <v>0</v>
      </c>
      <c r="CY71">
        <v>1750704259.5</v>
      </c>
      <c r="CZ71" t="s">
        <v>518</v>
      </c>
      <c r="DA71">
        <v>1750704259.5</v>
      </c>
      <c r="DB71">
        <v>1750703789.5</v>
      </c>
      <c r="DC71">
        <v>51</v>
      </c>
      <c r="DD71">
        <v>-0.002</v>
      </c>
      <c r="DE71">
        <v>0.016</v>
      </c>
      <c r="DF71">
        <v>2.077</v>
      </c>
      <c r="DG71">
        <v>0.13</v>
      </c>
      <c r="DH71">
        <v>405</v>
      </c>
      <c r="DI71">
        <v>15</v>
      </c>
      <c r="DJ71">
        <v>0.27</v>
      </c>
      <c r="DK71">
        <v>0.07000000000000001</v>
      </c>
      <c r="DL71">
        <v>-7.102420499999999</v>
      </c>
      <c r="DM71">
        <v>0.1699868667917699</v>
      </c>
      <c r="DN71">
        <v>0.03358641555376222</v>
      </c>
      <c r="DO71">
        <v>0</v>
      </c>
      <c r="DP71">
        <v>1.24094875</v>
      </c>
      <c r="DQ71">
        <v>0.374208517823638</v>
      </c>
      <c r="DR71">
        <v>0.03842932592353787</v>
      </c>
      <c r="DS71">
        <v>0</v>
      </c>
      <c r="DT71">
        <v>0</v>
      </c>
      <c r="DU71">
        <v>2</v>
      </c>
      <c r="DV71" t="s">
        <v>372</v>
      </c>
      <c r="DW71">
        <v>3.44809</v>
      </c>
      <c r="DX71">
        <v>2.78157</v>
      </c>
      <c r="DY71">
        <v>0.0966568</v>
      </c>
      <c r="DZ71">
        <v>0.098299</v>
      </c>
      <c r="EA71">
        <v>0.0914753</v>
      </c>
      <c r="EB71">
        <v>0.0860515</v>
      </c>
      <c r="EC71">
        <v>27300.5</v>
      </c>
      <c r="ED71">
        <v>31016.3</v>
      </c>
      <c r="EE71">
        <v>29349.2</v>
      </c>
      <c r="EF71">
        <v>34978.8</v>
      </c>
      <c r="EG71">
        <v>30836.8</v>
      </c>
      <c r="EH71">
        <v>39708.2</v>
      </c>
      <c r="EI71">
        <v>36132.6</v>
      </c>
      <c r="EJ71">
        <v>46329.2</v>
      </c>
      <c r="EK71">
        <v>1.99093</v>
      </c>
      <c r="EL71">
        <v>2.27122</v>
      </c>
      <c r="EM71">
        <v>0.117648</v>
      </c>
      <c r="EN71">
        <v>0</v>
      </c>
      <c r="EO71">
        <v>22.531</v>
      </c>
      <c r="EP71">
        <v>999.9</v>
      </c>
      <c r="EQ71">
        <v>54.2</v>
      </c>
      <c r="ER71">
        <v>26.1</v>
      </c>
      <c r="ES71">
        <v>18.1259</v>
      </c>
      <c r="ET71">
        <v>61.5664</v>
      </c>
      <c r="EU71">
        <v>26.258</v>
      </c>
      <c r="EV71">
        <v>2</v>
      </c>
      <c r="EW71">
        <v>-0.393283</v>
      </c>
      <c r="EX71">
        <v>0</v>
      </c>
      <c r="EY71">
        <v>20.2941</v>
      </c>
      <c r="EZ71">
        <v>5.21385</v>
      </c>
      <c r="FA71">
        <v>11.9704</v>
      </c>
      <c r="FB71">
        <v>4.99135</v>
      </c>
      <c r="FC71">
        <v>3.272</v>
      </c>
      <c r="FD71">
        <v>2916.5</v>
      </c>
      <c r="FE71">
        <v>9999</v>
      </c>
      <c r="FF71">
        <v>9999</v>
      </c>
      <c r="FG71">
        <v>999.9</v>
      </c>
      <c r="FH71">
        <v>4.97258</v>
      </c>
      <c r="FI71">
        <v>1.86264</v>
      </c>
      <c r="FJ71">
        <v>1.86445</v>
      </c>
      <c r="FK71">
        <v>1.86281</v>
      </c>
      <c r="FL71">
        <v>1.86286</v>
      </c>
      <c r="FM71">
        <v>1.8634</v>
      </c>
      <c r="FN71">
        <v>1.85989</v>
      </c>
      <c r="FO71">
        <v>1.86277</v>
      </c>
      <c r="FP71">
        <v>0</v>
      </c>
      <c r="FQ71">
        <v>0</v>
      </c>
      <c r="FR71">
        <v>0</v>
      </c>
      <c r="FS71">
        <v>0</v>
      </c>
      <c r="FT71" t="s">
        <v>356</v>
      </c>
      <c r="FU71" t="s">
        <v>357</v>
      </c>
      <c r="FV71" t="s">
        <v>358</v>
      </c>
      <c r="FW71" t="s">
        <v>358</v>
      </c>
      <c r="FX71" t="s">
        <v>358</v>
      </c>
      <c r="FY71" t="s">
        <v>358</v>
      </c>
      <c r="FZ71">
        <v>0</v>
      </c>
      <c r="GA71">
        <v>100</v>
      </c>
      <c r="GB71">
        <v>100</v>
      </c>
      <c r="GC71">
        <v>2.077</v>
      </c>
      <c r="GD71">
        <v>0.1687</v>
      </c>
      <c r="GE71">
        <v>2.36262222436656</v>
      </c>
      <c r="GF71">
        <v>-0.001033730503750798</v>
      </c>
      <c r="GG71">
        <v>9.120241388950126E-07</v>
      </c>
      <c r="GH71">
        <v>-2.246115299815222E-10</v>
      </c>
      <c r="GI71">
        <v>-0.008124939539729842</v>
      </c>
      <c r="GJ71">
        <v>-0.01814858093373864</v>
      </c>
      <c r="GK71">
        <v>0.002091959988359369</v>
      </c>
      <c r="GL71">
        <v>-1.90871700788604E-05</v>
      </c>
      <c r="GM71">
        <v>2</v>
      </c>
      <c r="GN71">
        <v>2210</v>
      </c>
      <c r="GO71">
        <v>1</v>
      </c>
      <c r="GP71">
        <v>26</v>
      </c>
      <c r="GQ71">
        <v>1.5</v>
      </c>
      <c r="GR71">
        <v>7.5</v>
      </c>
      <c r="GS71">
        <v>1.26343</v>
      </c>
      <c r="GT71">
        <v>2.38892</v>
      </c>
      <c r="GU71">
        <v>2.34863</v>
      </c>
      <c r="GV71">
        <v>2.75024</v>
      </c>
      <c r="GW71">
        <v>2.39868</v>
      </c>
      <c r="GX71">
        <v>2.25464</v>
      </c>
      <c r="GY71">
        <v>30.48</v>
      </c>
      <c r="GZ71">
        <v>12.2057</v>
      </c>
      <c r="HA71">
        <v>18</v>
      </c>
      <c r="HB71">
        <v>437.397</v>
      </c>
      <c r="HC71">
        <v>653.61</v>
      </c>
      <c r="HD71">
        <v>23.2815</v>
      </c>
      <c r="HE71">
        <v>22.305</v>
      </c>
      <c r="HF71">
        <v>30.0007</v>
      </c>
      <c r="HG71">
        <v>22.1379</v>
      </c>
      <c r="HH71">
        <v>22.0742</v>
      </c>
      <c r="HI71">
        <v>25.3541</v>
      </c>
      <c r="HJ71">
        <v>21.6526</v>
      </c>
      <c r="HK71">
        <v>0.731699</v>
      </c>
      <c r="HL71">
        <v>-999.9</v>
      </c>
      <c r="HM71">
        <v>405</v>
      </c>
      <c r="HN71">
        <v>15.1706</v>
      </c>
      <c r="HO71">
        <v>100.774</v>
      </c>
      <c r="HP71">
        <v>101.134</v>
      </c>
    </row>
    <row r="72" spans="1:224">
      <c r="A72">
        <v>56</v>
      </c>
      <c r="B72">
        <v>1750704419</v>
      </c>
      <c r="C72">
        <v>9555.900000095367</v>
      </c>
      <c r="D72" t="s">
        <v>519</v>
      </c>
      <c r="E72" t="s">
        <v>520</v>
      </c>
      <c r="F72">
        <v>15</v>
      </c>
      <c r="G72">
        <v>1750704411.25</v>
      </c>
      <c r="H72">
        <f>(I72)/1000</f>
        <v>0</v>
      </c>
      <c r="I72">
        <f>IF(BD72, AL72, AF72)</f>
        <v>0</v>
      </c>
      <c r="J72">
        <f>IF(BD72, AG72, AE72)</f>
        <v>0</v>
      </c>
      <c r="K72">
        <f>BF72 - IF(AS72&gt;1, J72*AZ72*100.0/(AU72), 0)</f>
        <v>0</v>
      </c>
      <c r="L72">
        <f>((R72-H72/2)*K72-J72)/(R72+H72/2)</f>
        <v>0</v>
      </c>
      <c r="M72">
        <f>L72*(BM72+BN72)/1000.0</f>
        <v>0</v>
      </c>
      <c r="N72">
        <f>(BF72 - IF(AS72&gt;1, J72*AZ72*100.0/(AU72), 0))*(BM72+BN72)/1000.0</f>
        <v>0</v>
      </c>
      <c r="O72">
        <f>2.0/((1/Q72-1/P72)+SIGN(Q72)*SQRT((1/Q72-1/P72)*(1/Q72-1/P72) + 4*BA72/((BA72+1)*(BA72+1))*(2*1/Q72*1/P72-1/P72*1/P72)))</f>
        <v>0</v>
      </c>
      <c r="P72">
        <f>IF(LEFT(BB72,1)&lt;&gt;"0",IF(LEFT(BB72,1)="1",3.0,BC72),$D$5+$E$5*(BT72*BM72/($K$5*1000))+$F$5*(BT72*BM72/($K$5*1000))*MAX(MIN(AZ72,$J$5),$I$5)*MAX(MIN(AZ72,$J$5),$I$5)+$G$5*MAX(MIN(AZ72,$J$5),$I$5)*(BT72*BM72/($K$5*1000))+$H$5*(BT72*BM72/($K$5*1000))*(BT72*BM72/($K$5*1000)))</f>
        <v>0</v>
      </c>
      <c r="Q72">
        <f>H72*(1000-(1000*0.61365*exp(17.502*U72/(240.97+U72))/(BM72+BN72)+BH72)/2)/(1000*0.61365*exp(17.502*U72/(240.97+U72))/(BM72+BN72)-BH72)</f>
        <v>0</v>
      </c>
      <c r="R72">
        <f>1/((BA72+1)/(O72/1.6)+1/(P72/1.37)) + BA72/((BA72+1)/(O72/1.6) + BA72/(P72/1.37))</f>
        <v>0</v>
      </c>
      <c r="S72">
        <f>(AV72*AY72)</f>
        <v>0</v>
      </c>
      <c r="T72">
        <f>(BO72+(S72+2*0.95*5.67E-8*(((BO72+$B$7)+273)^4-(BO72+273)^4)-44100*H72)/(1.84*29.3*P72+8*0.95*5.67E-8*(BO72+273)^3))</f>
        <v>0</v>
      </c>
      <c r="U72">
        <f>($C$7*BP72+$D$7*BQ72+$E$7*T72)</f>
        <v>0</v>
      </c>
      <c r="V72">
        <f>0.61365*exp(17.502*U72/(240.97+U72))</f>
        <v>0</v>
      </c>
      <c r="W72">
        <f>(X72/Y72*100)</f>
        <v>0</v>
      </c>
      <c r="X72">
        <f>BH72*(BM72+BN72)/1000</f>
        <v>0</v>
      </c>
      <c r="Y72">
        <f>0.61365*exp(17.502*BO72/(240.97+BO72))</f>
        <v>0</v>
      </c>
      <c r="Z72">
        <f>(V72-BH72*(BM72+BN72)/1000)</f>
        <v>0</v>
      </c>
      <c r="AA72">
        <f>(-H72*44100)</f>
        <v>0</v>
      </c>
      <c r="AB72">
        <f>2*29.3*P72*0.92*(BO72-U72)</f>
        <v>0</v>
      </c>
      <c r="AC72">
        <f>2*0.95*5.67E-8*(((BO72+$B$7)+273)^4-(U72+273)^4)</f>
        <v>0</v>
      </c>
      <c r="AD72">
        <f>S72+AC72+AA72+AB72</f>
        <v>0</v>
      </c>
      <c r="AE72">
        <f>BL72*AS72*(BG72-BF72*(1000-AS72*BI72)/(1000-AS72*BH72))/(100*AZ72)</f>
        <v>0</v>
      </c>
      <c r="AF72">
        <f>1000*BL72*AS72*(BH72-BI72)/(100*AZ72*(1000-AS72*BH72))</f>
        <v>0</v>
      </c>
      <c r="AG72">
        <f>(AH72 - AI72 - BM72*1E3/(8.314*(BO72+273.15)) * AK72/BL72 * AJ72) * BL72/(100*AZ72) * (1000 - BI72)/1000</f>
        <v>0</v>
      </c>
      <c r="AH72">
        <v>410.1924224038749</v>
      </c>
      <c r="AI72">
        <v>402.2417030303027</v>
      </c>
      <c r="AJ72">
        <v>0.02478832163227174</v>
      </c>
      <c r="AK72">
        <v>66.95393617621635</v>
      </c>
      <c r="AL72">
        <f>(AN72 - AM72 + BM72*1E3/(8.314*(BO72+273.15)) * AP72/BL72 * AO72) * BL72/(100*AZ72) * 1000/(1000 - AN72)</f>
        <v>0</v>
      </c>
      <c r="AM72">
        <v>12.65886716199673</v>
      </c>
      <c r="AN72">
        <v>16.50999999999999</v>
      </c>
      <c r="AO72">
        <v>0.007336938554863151</v>
      </c>
      <c r="AP72">
        <v>79.27316133929708</v>
      </c>
      <c r="AQ72">
        <v>544</v>
      </c>
      <c r="AR72">
        <v>68</v>
      </c>
      <c r="AS72">
        <f>IF(AQ72*$H$13&gt;=AU72,1.0,(AU72/(AU72-AQ72*$H$13)))</f>
        <v>0</v>
      </c>
      <c r="AT72">
        <f>(AS72-1)*100</f>
        <v>0</v>
      </c>
      <c r="AU72">
        <f>MAX(0,($B$13+$C$13*BT72)/(1+$D$13*BT72)*BM72/(BO72+273)*$E$13)</f>
        <v>0</v>
      </c>
      <c r="AV72">
        <f>$B$11*BU72+$C$11*BV72+$F$11*CG72*(1-CJ72)</f>
        <v>0</v>
      </c>
      <c r="AW72">
        <f>AV72*AX72</f>
        <v>0</v>
      </c>
      <c r="AX72">
        <f>($B$11*$D$9+$C$11*$D$9+$F$11*((CT72+CL72)/MAX(CT72+CL72+CU72, 0.1)*$I$9+CU72/MAX(CT72+CL72+CU72, 0.1)*$J$9))/($B$11+$C$11+$F$11)</f>
        <v>0</v>
      </c>
      <c r="AY72">
        <f>($B$11*$K$9+$C$11*$K$9+$F$11*((CT72+CL72)/MAX(CT72+CL72+CU72, 0.1)*$P$9+CU72/MAX(CT72+CL72+CU72, 0.1)*$Q$9))/($B$11+$C$11+$F$11)</f>
        <v>0</v>
      </c>
      <c r="AZ72">
        <v>6</v>
      </c>
      <c r="BA72">
        <v>0.5</v>
      </c>
      <c r="BB72" t="s">
        <v>353</v>
      </c>
      <c r="BC72">
        <v>2</v>
      </c>
      <c r="BD72" t="b">
        <v>0</v>
      </c>
      <c r="BE72">
        <v>1750704411.25</v>
      </c>
      <c r="BF72">
        <v>395.5813333333332</v>
      </c>
      <c r="BG72">
        <v>404.9626666666667</v>
      </c>
      <c r="BH72">
        <v>16.32651</v>
      </c>
      <c r="BI72">
        <v>12.56853</v>
      </c>
      <c r="BJ72">
        <v>393.4843333333333</v>
      </c>
      <c r="BK72">
        <v>16.29851</v>
      </c>
      <c r="BL72">
        <v>800.0180999999999</v>
      </c>
      <c r="BM72">
        <v>101.4933</v>
      </c>
      <c r="BN72">
        <v>0.1000800066666667</v>
      </c>
      <c r="BO72">
        <v>24.48781666666667</v>
      </c>
      <c r="BP72">
        <v>24.08430666666667</v>
      </c>
      <c r="BQ72">
        <v>999.9000000000002</v>
      </c>
      <c r="BR72">
        <v>0</v>
      </c>
      <c r="BS72">
        <v>0</v>
      </c>
      <c r="BT72">
        <v>10001.923</v>
      </c>
      <c r="BU72">
        <v>0</v>
      </c>
      <c r="BV72">
        <v>0.00152894</v>
      </c>
      <c r="BW72">
        <v>-9.397332666666667</v>
      </c>
      <c r="BX72">
        <v>402.1883999999999</v>
      </c>
      <c r="BY72">
        <v>410.1172333333333</v>
      </c>
      <c r="BZ72">
        <v>3.899127333333333</v>
      </c>
      <c r="CA72">
        <v>404.9626666666667</v>
      </c>
      <c r="CB72">
        <v>12.56853</v>
      </c>
      <c r="CC72">
        <v>1.671356666666667</v>
      </c>
      <c r="CD72">
        <v>1.275621333333333</v>
      </c>
      <c r="CE72">
        <v>14.63290666666667</v>
      </c>
      <c r="CF72">
        <v>10.51441333333333</v>
      </c>
      <c r="CG72">
        <v>999.9886000000001</v>
      </c>
      <c r="CH72">
        <v>0.959988066666667</v>
      </c>
      <c r="CI72">
        <v>0.04001191000000001</v>
      </c>
      <c r="CJ72">
        <v>0</v>
      </c>
      <c r="CK72">
        <v>0.9013333333333334</v>
      </c>
      <c r="CL72">
        <v>0</v>
      </c>
      <c r="CM72">
        <v>8693.036666666667</v>
      </c>
      <c r="CN72">
        <v>7946.780333333331</v>
      </c>
      <c r="CO72">
        <v>38.18726666666667</v>
      </c>
      <c r="CP72">
        <v>41.87059999999998</v>
      </c>
      <c r="CQ72">
        <v>39.61639999999998</v>
      </c>
      <c r="CR72">
        <v>41.57479999999999</v>
      </c>
      <c r="CS72">
        <v>38.37053333333332</v>
      </c>
      <c r="CT72">
        <v>959.9786666666665</v>
      </c>
      <c r="CU72">
        <v>40.01</v>
      </c>
      <c r="CV72">
        <v>0</v>
      </c>
      <c r="CW72">
        <v>1750704435.8</v>
      </c>
      <c r="CX72">
        <v>0</v>
      </c>
      <c r="CY72">
        <v>1750704450</v>
      </c>
      <c r="CZ72" t="s">
        <v>521</v>
      </c>
      <c r="DA72">
        <v>1750704438.5</v>
      </c>
      <c r="DB72">
        <v>1750704450</v>
      </c>
      <c r="DC72">
        <v>52</v>
      </c>
      <c r="DD72">
        <v>0.02</v>
      </c>
      <c r="DE72">
        <v>-0.033</v>
      </c>
      <c r="DF72">
        <v>2.097</v>
      </c>
      <c r="DG72">
        <v>0.028</v>
      </c>
      <c r="DH72">
        <v>405</v>
      </c>
      <c r="DI72">
        <v>13</v>
      </c>
      <c r="DJ72">
        <v>0.14</v>
      </c>
      <c r="DK72">
        <v>0.02</v>
      </c>
      <c r="DL72">
        <v>-9.394493750000001</v>
      </c>
      <c r="DM72">
        <v>-0.1059022514071187</v>
      </c>
      <c r="DN72">
        <v>0.02873443297574358</v>
      </c>
      <c r="DO72">
        <v>0</v>
      </c>
      <c r="DP72">
        <v>3.947099</v>
      </c>
      <c r="DQ72">
        <v>-0.9068449530956959</v>
      </c>
      <c r="DR72">
        <v>0.08821029188252352</v>
      </c>
      <c r="DS72">
        <v>0</v>
      </c>
      <c r="DT72">
        <v>0</v>
      </c>
      <c r="DU72">
        <v>2</v>
      </c>
      <c r="DV72" t="s">
        <v>372</v>
      </c>
      <c r="DW72">
        <v>3.44727</v>
      </c>
      <c r="DX72">
        <v>2.7808</v>
      </c>
      <c r="DY72">
        <v>0.0961446</v>
      </c>
      <c r="DZ72">
        <v>0.0981977</v>
      </c>
      <c r="EA72">
        <v>0.09163689999999999</v>
      </c>
      <c r="EB72">
        <v>0.0754745</v>
      </c>
      <c r="EC72">
        <v>27304.1</v>
      </c>
      <c r="ED72">
        <v>31008.9</v>
      </c>
      <c r="EE72">
        <v>29337.3</v>
      </c>
      <c r="EF72">
        <v>34967.9</v>
      </c>
      <c r="EG72">
        <v>30818.5</v>
      </c>
      <c r="EH72">
        <v>40157.1</v>
      </c>
      <c r="EI72">
        <v>36117</v>
      </c>
      <c r="EJ72">
        <v>46314.9</v>
      </c>
      <c r="EK72">
        <v>1.45465</v>
      </c>
      <c r="EL72">
        <v>2.25907</v>
      </c>
      <c r="EM72">
        <v>0.0990182</v>
      </c>
      <c r="EN72">
        <v>0</v>
      </c>
      <c r="EO72">
        <v>22.4748</v>
      </c>
      <c r="EP72">
        <v>999.9</v>
      </c>
      <c r="EQ72">
        <v>54.3</v>
      </c>
      <c r="ER72">
        <v>26.2</v>
      </c>
      <c r="ES72">
        <v>18.2686</v>
      </c>
      <c r="ET72">
        <v>61.8364</v>
      </c>
      <c r="EU72">
        <v>26.2099</v>
      </c>
      <c r="EV72">
        <v>2</v>
      </c>
      <c r="EW72">
        <v>-0.373791</v>
      </c>
      <c r="EX72">
        <v>0</v>
      </c>
      <c r="EY72">
        <v>20.2941</v>
      </c>
      <c r="EZ72">
        <v>5.21489</v>
      </c>
      <c r="FA72">
        <v>11.973</v>
      </c>
      <c r="FB72">
        <v>4.99135</v>
      </c>
      <c r="FC72">
        <v>3.272</v>
      </c>
      <c r="FD72">
        <v>2922</v>
      </c>
      <c r="FE72">
        <v>9999</v>
      </c>
      <c r="FF72">
        <v>9999</v>
      </c>
      <c r="FG72">
        <v>999.9</v>
      </c>
      <c r="FH72">
        <v>4.97258</v>
      </c>
      <c r="FI72">
        <v>1.86264</v>
      </c>
      <c r="FJ72">
        <v>1.86447</v>
      </c>
      <c r="FK72">
        <v>1.86284</v>
      </c>
      <c r="FL72">
        <v>1.86293</v>
      </c>
      <c r="FM72">
        <v>1.86341</v>
      </c>
      <c r="FN72">
        <v>1.85989</v>
      </c>
      <c r="FO72">
        <v>1.86278</v>
      </c>
      <c r="FP72">
        <v>0</v>
      </c>
      <c r="FQ72">
        <v>0</v>
      </c>
      <c r="FR72">
        <v>0</v>
      </c>
      <c r="FS72">
        <v>0</v>
      </c>
      <c r="FT72" t="s">
        <v>356</v>
      </c>
      <c r="FU72" t="s">
        <v>357</v>
      </c>
      <c r="FV72" t="s">
        <v>358</v>
      </c>
      <c r="FW72" t="s">
        <v>358</v>
      </c>
      <c r="FX72" t="s">
        <v>358</v>
      </c>
      <c r="FY72" t="s">
        <v>358</v>
      </c>
      <c r="FZ72">
        <v>0</v>
      </c>
      <c r="GA72">
        <v>100</v>
      </c>
      <c r="GB72">
        <v>100</v>
      </c>
      <c r="GC72">
        <v>2.097</v>
      </c>
      <c r="GD72">
        <v>0.028</v>
      </c>
      <c r="GE72">
        <v>2.36021343597529</v>
      </c>
      <c r="GF72">
        <v>-0.001033730503750798</v>
      </c>
      <c r="GG72">
        <v>9.120241388950126E-07</v>
      </c>
      <c r="GH72">
        <v>-2.246115299815222E-10</v>
      </c>
      <c r="GI72">
        <v>-0.008124939539729842</v>
      </c>
      <c r="GJ72">
        <v>-0.01814858093373864</v>
      </c>
      <c r="GK72">
        <v>0.002091959988359369</v>
      </c>
      <c r="GL72">
        <v>-1.90871700788604E-05</v>
      </c>
      <c r="GM72">
        <v>2</v>
      </c>
      <c r="GN72">
        <v>2210</v>
      </c>
      <c r="GO72">
        <v>1</v>
      </c>
      <c r="GP72">
        <v>26</v>
      </c>
      <c r="GQ72">
        <v>2.7</v>
      </c>
      <c r="GR72">
        <v>10.5</v>
      </c>
      <c r="GS72">
        <v>1.26221</v>
      </c>
      <c r="GT72">
        <v>2.39624</v>
      </c>
      <c r="GU72">
        <v>2.34741</v>
      </c>
      <c r="GV72">
        <v>2.7478</v>
      </c>
      <c r="GW72">
        <v>2.39868</v>
      </c>
      <c r="GX72">
        <v>2.27417</v>
      </c>
      <c r="GY72">
        <v>30.7172</v>
      </c>
      <c r="GZ72">
        <v>12.0656</v>
      </c>
      <c r="HA72">
        <v>18</v>
      </c>
      <c r="HB72">
        <v>221.552</v>
      </c>
      <c r="HC72">
        <v>647.1559999999999</v>
      </c>
      <c r="HD72">
        <v>23.5007</v>
      </c>
      <c r="HE72">
        <v>22.5765</v>
      </c>
      <c r="HF72">
        <v>30.0005</v>
      </c>
      <c r="HG72">
        <v>22.4284</v>
      </c>
      <c r="HH72">
        <v>22.3301</v>
      </c>
      <c r="HI72">
        <v>25.3031</v>
      </c>
      <c r="HJ72">
        <v>33.6129</v>
      </c>
      <c r="HK72">
        <v>0</v>
      </c>
      <c r="HL72">
        <v>-999.9</v>
      </c>
      <c r="HM72">
        <v>405</v>
      </c>
      <c r="HN72">
        <v>12.7962</v>
      </c>
      <c r="HO72">
        <v>100.732</v>
      </c>
      <c r="HP72">
        <v>101.103</v>
      </c>
    </row>
    <row r="73" spans="1:224">
      <c r="A73">
        <v>57</v>
      </c>
      <c r="B73">
        <v>1750704532.5</v>
      </c>
      <c r="C73">
        <v>9669.400000095367</v>
      </c>
      <c r="D73" t="s">
        <v>522</v>
      </c>
      <c r="E73" t="s">
        <v>523</v>
      </c>
      <c r="F73">
        <v>15</v>
      </c>
      <c r="G73">
        <v>1750704524.75</v>
      </c>
      <c r="H73">
        <f>(I73)/1000</f>
        <v>0</v>
      </c>
      <c r="I73">
        <f>IF(BD73, AL73, AF73)</f>
        <v>0</v>
      </c>
      <c r="J73">
        <f>IF(BD73, AG73, AE73)</f>
        <v>0</v>
      </c>
      <c r="K73">
        <f>BF73 - IF(AS73&gt;1, J73*AZ73*100.0/(AU73), 0)</f>
        <v>0</v>
      </c>
      <c r="L73">
        <f>((R73-H73/2)*K73-J73)/(R73+H73/2)</f>
        <v>0</v>
      </c>
      <c r="M73">
        <f>L73*(BM73+BN73)/1000.0</f>
        <v>0</v>
      </c>
      <c r="N73">
        <f>(BF73 - IF(AS73&gt;1, J73*AZ73*100.0/(AU73), 0))*(BM73+BN73)/1000.0</f>
        <v>0</v>
      </c>
      <c r="O73">
        <f>2.0/((1/Q73-1/P73)+SIGN(Q73)*SQRT((1/Q73-1/P73)*(1/Q73-1/P73) + 4*BA73/((BA73+1)*(BA73+1))*(2*1/Q73*1/P73-1/P73*1/P73)))</f>
        <v>0</v>
      </c>
      <c r="P73">
        <f>IF(LEFT(BB73,1)&lt;&gt;"0",IF(LEFT(BB73,1)="1",3.0,BC73),$D$5+$E$5*(BT73*BM73/($K$5*1000))+$F$5*(BT73*BM73/($K$5*1000))*MAX(MIN(AZ73,$J$5),$I$5)*MAX(MIN(AZ73,$J$5),$I$5)+$G$5*MAX(MIN(AZ73,$J$5),$I$5)*(BT73*BM73/($K$5*1000))+$H$5*(BT73*BM73/($K$5*1000))*(BT73*BM73/($K$5*1000)))</f>
        <v>0</v>
      </c>
      <c r="Q73">
        <f>H73*(1000-(1000*0.61365*exp(17.502*U73/(240.97+U73))/(BM73+BN73)+BH73)/2)/(1000*0.61365*exp(17.502*U73/(240.97+U73))/(BM73+BN73)-BH73)</f>
        <v>0</v>
      </c>
      <c r="R73">
        <f>1/((BA73+1)/(O73/1.6)+1/(P73/1.37)) + BA73/((BA73+1)/(O73/1.6) + BA73/(P73/1.37))</f>
        <v>0</v>
      </c>
      <c r="S73">
        <f>(AV73*AY73)</f>
        <v>0</v>
      </c>
      <c r="T73">
        <f>(BO73+(S73+2*0.95*5.67E-8*(((BO73+$B$7)+273)^4-(BO73+273)^4)-44100*H73)/(1.84*29.3*P73+8*0.95*5.67E-8*(BO73+273)^3))</f>
        <v>0</v>
      </c>
      <c r="U73">
        <f>($C$7*BP73+$D$7*BQ73+$E$7*T73)</f>
        <v>0</v>
      </c>
      <c r="V73">
        <f>0.61365*exp(17.502*U73/(240.97+U73))</f>
        <v>0</v>
      </c>
      <c r="W73">
        <f>(X73/Y73*100)</f>
        <v>0</v>
      </c>
      <c r="X73">
        <f>BH73*(BM73+BN73)/1000</f>
        <v>0</v>
      </c>
      <c r="Y73">
        <f>0.61365*exp(17.502*BO73/(240.97+BO73))</f>
        <v>0</v>
      </c>
      <c r="Z73">
        <f>(V73-BH73*(BM73+BN73)/1000)</f>
        <v>0</v>
      </c>
      <c r="AA73">
        <f>(-H73*44100)</f>
        <v>0</v>
      </c>
      <c r="AB73">
        <f>2*29.3*P73*0.92*(BO73-U73)</f>
        <v>0</v>
      </c>
      <c r="AC73">
        <f>2*0.95*5.67E-8*(((BO73+$B$7)+273)^4-(U73+273)^4)</f>
        <v>0</v>
      </c>
      <c r="AD73">
        <f>S73+AC73+AA73+AB73</f>
        <v>0</v>
      </c>
      <c r="AE73">
        <f>BL73*AS73*(BG73-BF73*(1000-AS73*BI73)/(1000-AS73*BH73))/(100*AZ73)</f>
        <v>0</v>
      </c>
      <c r="AF73">
        <f>1000*BL73*AS73*(BH73-BI73)/(100*AZ73*(1000-AS73*BH73))</f>
        <v>0</v>
      </c>
      <c r="AG73">
        <f>(AH73 - AI73 - BM73*1E3/(8.314*(BO73+273.15)) * AK73/BL73 * AJ73) * BL73/(100*AZ73) * (1000 - BI73)/1000</f>
        <v>0</v>
      </c>
      <c r="AH73">
        <v>410.8776504782675</v>
      </c>
      <c r="AI73">
        <v>400.7558303030303</v>
      </c>
      <c r="AJ73">
        <v>0.005801615373246569</v>
      </c>
      <c r="AK73">
        <v>66.95160109427407</v>
      </c>
      <c r="AL73">
        <f>(AN73 - AM73 + BM73*1E3/(8.314*(BO73+273.15)) * AP73/BL73 * AO73) * BL73/(100*AZ73) * 1000/(1000 - AN73)</f>
        <v>0</v>
      </c>
      <c r="AM73">
        <v>14.41572421405195</v>
      </c>
      <c r="AN73">
        <v>16.72851212121212</v>
      </c>
      <c r="AO73">
        <v>0.007742719761481937</v>
      </c>
      <c r="AP73">
        <v>79.31143225507094</v>
      </c>
      <c r="AQ73">
        <v>145</v>
      </c>
      <c r="AR73">
        <v>18</v>
      </c>
      <c r="AS73">
        <f>IF(AQ73*$H$13&gt;=AU73,1.0,(AU73/(AU73-AQ73*$H$13)))</f>
        <v>0</v>
      </c>
      <c r="AT73">
        <f>(AS73-1)*100</f>
        <v>0</v>
      </c>
      <c r="AU73">
        <f>MAX(0,($B$13+$C$13*BT73)/(1+$D$13*BT73)*BM73/(BO73+273)*$E$13)</f>
        <v>0</v>
      </c>
      <c r="AV73">
        <f>$B$11*BU73+$C$11*BV73+$F$11*CG73*(1-CJ73)</f>
        <v>0</v>
      </c>
      <c r="AW73">
        <f>AV73*AX73</f>
        <v>0</v>
      </c>
      <c r="AX73">
        <f>($B$11*$D$9+$C$11*$D$9+$F$11*((CT73+CL73)/MAX(CT73+CL73+CU73, 0.1)*$I$9+CU73/MAX(CT73+CL73+CU73, 0.1)*$J$9))/($B$11+$C$11+$F$11)</f>
        <v>0</v>
      </c>
      <c r="AY73">
        <f>($B$11*$K$9+$C$11*$K$9+$F$11*((CT73+CL73)/MAX(CT73+CL73+CU73, 0.1)*$P$9+CU73/MAX(CT73+CL73+CU73, 0.1)*$Q$9))/($B$11+$C$11+$F$11)</f>
        <v>0</v>
      </c>
      <c r="AZ73">
        <v>6</v>
      </c>
      <c r="BA73">
        <v>0.5</v>
      </c>
      <c r="BB73" t="s">
        <v>353</v>
      </c>
      <c r="BC73">
        <v>2</v>
      </c>
      <c r="BD73" t="b">
        <v>0</v>
      </c>
      <c r="BE73">
        <v>1750704524.75</v>
      </c>
      <c r="BF73">
        <v>394.0093666666666</v>
      </c>
      <c r="BG73">
        <v>404.9535333333333</v>
      </c>
      <c r="BH73">
        <v>16.6442</v>
      </c>
      <c r="BI73">
        <v>14.37607</v>
      </c>
      <c r="BJ73">
        <v>391.9080666666667</v>
      </c>
      <c r="BK73">
        <v>16.50103333333333</v>
      </c>
      <c r="BL73">
        <v>800.0261666666665</v>
      </c>
      <c r="BM73">
        <v>101.4964666666667</v>
      </c>
      <c r="BN73">
        <v>0.09998645666666667</v>
      </c>
      <c r="BO73">
        <v>24.66370333333333</v>
      </c>
      <c r="BP73">
        <v>23.64214</v>
      </c>
      <c r="BQ73">
        <v>999.9000000000002</v>
      </c>
      <c r="BR73">
        <v>0</v>
      </c>
      <c r="BS73">
        <v>0</v>
      </c>
      <c r="BT73">
        <v>9997.294666666667</v>
      </c>
      <c r="BU73">
        <v>0</v>
      </c>
      <c r="BV73">
        <v>0.00152894</v>
      </c>
      <c r="BW73">
        <v>-10.94414</v>
      </c>
      <c r="BX73">
        <v>400.6784333333334</v>
      </c>
      <c r="BY73">
        <v>410.8600333333333</v>
      </c>
      <c r="BZ73">
        <v>2.268133333333334</v>
      </c>
      <c r="CA73">
        <v>404.9535333333333</v>
      </c>
      <c r="CB73">
        <v>14.37607</v>
      </c>
      <c r="CC73">
        <v>1.689326</v>
      </c>
      <c r="CD73">
        <v>1.459119666666667</v>
      </c>
      <c r="CE73">
        <v>14.79859333333333</v>
      </c>
      <c r="CF73">
        <v>12.54631333333333</v>
      </c>
      <c r="CG73">
        <v>999.9925999999999</v>
      </c>
      <c r="CH73">
        <v>0.9599960333333333</v>
      </c>
      <c r="CI73">
        <v>0.04000375</v>
      </c>
      <c r="CJ73">
        <v>0</v>
      </c>
      <c r="CK73">
        <v>1.259166666666666</v>
      </c>
      <c r="CL73">
        <v>0</v>
      </c>
      <c r="CM73">
        <v>11235.67666666667</v>
      </c>
      <c r="CN73">
        <v>7946.843000000002</v>
      </c>
      <c r="CO73">
        <v>36.4956</v>
      </c>
      <c r="CP73">
        <v>38.98103333333333</v>
      </c>
      <c r="CQ73">
        <v>37.85189999999999</v>
      </c>
      <c r="CR73">
        <v>38.21429999999999</v>
      </c>
      <c r="CS73">
        <v>36.72886666666667</v>
      </c>
      <c r="CT73">
        <v>959.9899999999999</v>
      </c>
      <c r="CU73">
        <v>40.00233333333333</v>
      </c>
      <c r="CV73">
        <v>0</v>
      </c>
      <c r="CW73">
        <v>1750704549.2</v>
      </c>
      <c r="CX73">
        <v>0</v>
      </c>
      <c r="CY73">
        <v>1750704450</v>
      </c>
      <c r="CZ73" t="s">
        <v>521</v>
      </c>
      <c r="DA73">
        <v>1750704438.5</v>
      </c>
      <c r="DB73">
        <v>1750704450</v>
      </c>
      <c r="DC73">
        <v>52</v>
      </c>
      <c r="DD73">
        <v>0.02</v>
      </c>
      <c r="DE73">
        <v>-0.033</v>
      </c>
      <c r="DF73">
        <v>2.097</v>
      </c>
      <c r="DG73">
        <v>0.028</v>
      </c>
      <c r="DH73">
        <v>405</v>
      </c>
      <c r="DI73">
        <v>13</v>
      </c>
      <c r="DJ73">
        <v>0.14</v>
      </c>
      <c r="DK73">
        <v>0.02</v>
      </c>
      <c r="DL73">
        <v>-10.93370243902439</v>
      </c>
      <c r="DM73">
        <v>-0.06419163763066027</v>
      </c>
      <c r="DN73">
        <v>0.03226479231793455</v>
      </c>
      <c r="DO73">
        <v>1</v>
      </c>
      <c r="DP73">
        <v>2.242252682926829</v>
      </c>
      <c r="DQ73">
        <v>0.4552718466898938</v>
      </c>
      <c r="DR73">
        <v>0.04651799012207024</v>
      </c>
      <c r="DS73">
        <v>0</v>
      </c>
      <c r="DT73">
        <v>1</v>
      </c>
      <c r="DU73">
        <v>2</v>
      </c>
      <c r="DV73" t="s">
        <v>355</v>
      </c>
      <c r="DW73">
        <v>3.44801</v>
      </c>
      <c r="DX73">
        <v>2.78031</v>
      </c>
      <c r="DY73">
        <v>0.0958204</v>
      </c>
      <c r="DZ73">
        <v>0.09816999999999999</v>
      </c>
      <c r="EA73">
        <v>0.0926043</v>
      </c>
      <c r="EB73">
        <v>0.08299330000000001</v>
      </c>
      <c r="EC73">
        <v>27306.7</v>
      </c>
      <c r="ED73">
        <v>31002.7</v>
      </c>
      <c r="EE73">
        <v>29330.2</v>
      </c>
      <c r="EF73">
        <v>34960.6</v>
      </c>
      <c r="EG73">
        <v>30777.5</v>
      </c>
      <c r="EH73">
        <v>39820.4</v>
      </c>
      <c r="EI73">
        <v>36107.7</v>
      </c>
      <c r="EJ73">
        <v>46304.1</v>
      </c>
      <c r="EK73">
        <v>2.30205</v>
      </c>
      <c r="EL73">
        <v>2.25905</v>
      </c>
      <c r="EM73">
        <v>0.0633895</v>
      </c>
      <c r="EN73">
        <v>0</v>
      </c>
      <c r="EO73">
        <v>22.7189</v>
      </c>
      <c r="EP73">
        <v>999.9</v>
      </c>
      <c r="EQ73">
        <v>54.3</v>
      </c>
      <c r="ER73">
        <v>26.3</v>
      </c>
      <c r="ES73">
        <v>18.3758</v>
      </c>
      <c r="ET73">
        <v>61.3964</v>
      </c>
      <c r="EU73">
        <v>25.9936</v>
      </c>
      <c r="EV73">
        <v>2</v>
      </c>
      <c r="EW73">
        <v>-0.361209</v>
      </c>
      <c r="EX73">
        <v>0</v>
      </c>
      <c r="EY73">
        <v>20.2918</v>
      </c>
      <c r="EZ73">
        <v>5.20905</v>
      </c>
      <c r="FA73">
        <v>11.9733</v>
      </c>
      <c r="FB73">
        <v>4.99015</v>
      </c>
      <c r="FC73">
        <v>3.27125</v>
      </c>
      <c r="FD73">
        <v>2925.1</v>
      </c>
      <c r="FE73">
        <v>9999</v>
      </c>
      <c r="FF73">
        <v>9999</v>
      </c>
      <c r="FG73">
        <v>999.9</v>
      </c>
      <c r="FH73">
        <v>4.97258</v>
      </c>
      <c r="FI73">
        <v>1.86264</v>
      </c>
      <c r="FJ73">
        <v>1.86447</v>
      </c>
      <c r="FK73">
        <v>1.86293</v>
      </c>
      <c r="FL73">
        <v>1.86293</v>
      </c>
      <c r="FM73">
        <v>1.86346</v>
      </c>
      <c r="FN73">
        <v>1.85992</v>
      </c>
      <c r="FO73">
        <v>1.86279</v>
      </c>
      <c r="FP73">
        <v>0</v>
      </c>
      <c r="FQ73">
        <v>0</v>
      </c>
      <c r="FR73">
        <v>0</v>
      </c>
      <c r="FS73">
        <v>0</v>
      </c>
      <c r="FT73" t="s">
        <v>356</v>
      </c>
      <c r="FU73" t="s">
        <v>357</v>
      </c>
      <c r="FV73" t="s">
        <v>358</v>
      </c>
      <c r="FW73" t="s">
        <v>358</v>
      </c>
      <c r="FX73" t="s">
        <v>358</v>
      </c>
      <c r="FY73" t="s">
        <v>358</v>
      </c>
      <c r="FZ73">
        <v>0</v>
      </c>
      <c r="GA73">
        <v>100</v>
      </c>
      <c r="GB73">
        <v>100</v>
      </c>
      <c r="GC73">
        <v>2.101</v>
      </c>
      <c r="GD73">
        <v>0.1461</v>
      </c>
      <c r="GE73">
        <v>2.379870134558136</v>
      </c>
      <c r="GF73">
        <v>-0.001033730503750798</v>
      </c>
      <c r="GG73">
        <v>9.120241388950126E-07</v>
      </c>
      <c r="GH73">
        <v>-2.246115299815222E-10</v>
      </c>
      <c r="GI73">
        <v>-0.04122372306864884</v>
      </c>
      <c r="GJ73">
        <v>-0.01814858093373864</v>
      </c>
      <c r="GK73">
        <v>0.002091959988359369</v>
      </c>
      <c r="GL73">
        <v>-1.90871700788604E-05</v>
      </c>
      <c r="GM73">
        <v>2</v>
      </c>
      <c r="GN73">
        <v>2210</v>
      </c>
      <c r="GO73">
        <v>1</v>
      </c>
      <c r="GP73">
        <v>26</v>
      </c>
      <c r="GQ73">
        <v>1.6</v>
      </c>
      <c r="GR73">
        <v>1.4</v>
      </c>
      <c r="GS73">
        <v>1.26343</v>
      </c>
      <c r="GT73">
        <v>2.3938</v>
      </c>
      <c r="GU73">
        <v>2.34863</v>
      </c>
      <c r="GV73">
        <v>2.7478</v>
      </c>
      <c r="GW73">
        <v>2.39868</v>
      </c>
      <c r="GX73">
        <v>2.26074</v>
      </c>
      <c r="GY73">
        <v>30.8686</v>
      </c>
      <c r="GZ73">
        <v>11.9693</v>
      </c>
      <c r="HA73">
        <v>18</v>
      </c>
      <c r="HB73">
        <v>629.374</v>
      </c>
      <c r="HC73">
        <v>649.375</v>
      </c>
      <c r="HD73">
        <v>23.68</v>
      </c>
      <c r="HE73">
        <v>22.7522</v>
      </c>
      <c r="HF73">
        <v>30.0007</v>
      </c>
      <c r="HG73">
        <v>22.5642</v>
      </c>
      <c r="HH73">
        <v>22.5067</v>
      </c>
      <c r="HI73">
        <v>25.3387</v>
      </c>
      <c r="HJ73">
        <v>26.0593</v>
      </c>
      <c r="HK73">
        <v>0</v>
      </c>
      <c r="HL73">
        <v>-999.9</v>
      </c>
      <c r="HM73">
        <v>405</v>
      </c>
      <c r="HN73">
        <v>14.5403</v>
      </c>
      <c r="HO73">
        <v>100.707</v>
      </c>
      <c r="HP73">
        <v>101.08</v>
      </c>
    </row>
    <row r="74" spans="1:224">
      <c r="A74">
        <v>58</v>
      </c>
      <c r="B74">
        <v>1750704647</v>
      </c>
      <c r="C74">
        <v>9783.900000095367</v>
      </c>
      <c r="D74" t="s">
        <v>524</v>
      </c>
      <c r="E74" t="s">
        <v>525</v>
      </c>
      <c r="F74">
        <v>15</v>
      </c>
      <c r="G74">
        <v>1750704639.25</v>
      </c>
      <c r="H74">
        <f>(I74)/1000</f>
        <v>0</v>
      </c>
      <c r="I74">
        <f>IF(BD74, AL74, AF74)</f>
        <v>0</v>
      </c>
      <c r="J74">
        <f>IF(BD74, AG74, AE74)</f>
        <v>0</v>
      </c>
      <c r="K74">
        <f>BF74 - IF(AS74&gt;1, J74*AZ74*100.0/(AU74), 0)</f>
        <v>0</v>
      </c>
      <c r="L74">
        <f>((R74-H74/2)*K74-J74)/(R74+H74/2)</f>
        <v>0</v>
      </c>
      <c r="M74">
        <f>L74*(BM74+BN74)/1000.0</f>
        <v>0</v>
      </c>
      <c r="N74">
        <f>(BF74 - IF(AS74&gt;1, J74*AZ74*100.0/(AU74), 0))*(BM74+BN74)/1000.0</f>
        <v>0</v>
      </c>
      <c r="O74">
        <f>2.0/((1/Q74-1/P74)+SIGN(Q74)*SQRT((1/Q74-1/P74)*(1/Q74-1/P74) + 4*BA74/((BA74+1)*(BA74+1))*(2*1/Q74*1/P74-1/P74*1/P74)))</f>
        <v>0</v>
      </c>
      <c r="P74">
        <f>IF(LEFT(BB74,1)&lt;&gt;"0",IF(LEFT(BB74,1)="1",3.0,BC74),$D$5+$E$5*(BT74*BM74/($K$5*1000))+$F$5*(BT74*BM74/($K$5*1000))*MAX(MIN(AZ74,$J$5),$I$5)*MAX(MIN(AZ74,$J$5),$I$5)+$G$5*MAX(MIN(AZ74,$J$5),$I$5)*(BT74*BM74/($K$5*1000))+$H$5*(BT74*BM74/($K$5*1000))*(BT74*BM74/($K$5*1000)))</f>
        <v>0</v>
      </c>
      <c r="Q74">
        <f>H74*(1000-(1000*0.61365*exp(17.502*U74/(240.97+U74))/(BM74+BN74)+BH74)/2)/(1000*0.61365*exp(17.502*U74/(240.97+U74))/(BM74+BN74)-BH74)</f>
        <v>0</v>
      </c>
      <c r="R74">
        <f>1/((BA74+1)/(O74/1.6)+1/(P74/1.37)) + BA74/((BA74+1)/(O74/1.6) + BA74/(P74/1.37))</f>
        <v>0</v>
      </c>
      <c r="S74">
        <f>(AV74*AY74)</f>
        <v>0</v>
      </c>
      <c r="T74">
        <f>(BO74+(S74+2*0.95*5.67E-8*(((BO74+$B$7)+273)^4-(BO74+273)^4)-44100*H74)/(1.84*29.3*P74+8*0.95*5.67E-8*(BO74+273)^3))</f>
        <v>0</v>
      </c>
      <c r="U74">
        <f>($C$7*BP74+$D$7*BQ74+$E$7*T74)</f>
        <v>0</v>
      </c>
      <c r="V74">
        <f>0.61365*exp(17.502*U74/(240.97+U74))</f>
        <v>0</v>
      </c>
      <c r="W74">
        <f>(X74/Y74*100)</f>
        <v>0</v>
      </c>
      <c r="X74">
        <f>BH74*(BM74+BN74)/1000</f>
        <v>0</v>
      </c>
      <c r="Y74">
        <f>0.61365*exp(17.502*BO74/(240.97+BO74))</f>
        <v>0</v>
      </c>
      <c r="Z74">
        <f>(V74-BH74*(BM74+BN74)/1000)</f>
        <v>0</v>
      </c>
      <c r="AA74">
        <f>(-H74*44100)</f>
        <v>0</v>
      </c>
      <c r="AB74">
        <f>2*29.3*P74*0.92*(BO74-U74)</f>
        <v>0</v>
      </c>
      <c r="AC74">
        <f>2*0.95*5.67E-8*(((BO74+$B$7)+273)^4-(U74+273)^4)</f>
        <v>0</v>
      </c>
      <c r="AD74">
        <f>S74+AC74+AA74+AB74</f>
        <v>0</v>
      </c>
      <c r="AE74">
        <f>BL74*AS74*(BG74-BF74*(1000-AS74*BI74)/(1000-AS74*BH74))/(100*AZ74)</f>
        <v>0</v>
      </c>
      <c r="AF74">
        <f>1000*BL74*AS74*(BH74-BI74)/(100*AZ74*(1000-AS74*BH74))</f>
        <v>0</v>
      </c>
      <c r="AG74">
        <f>(AH74 - AI74 - BM74*1E3/(8.314*(BO74+273.15)) * AK74/BL74 * AJ74) * BL74/(100*AZ74) * (1000 - BI74)/1000</f>
        <v>0</v>
      </c>
      <c r="AH74">
        <v>411.147258000554</v>
      </c>
      <c r="AI74">
        <v>407.6768606060606</v>
      </c>
      <c r="AJ74">
        <v>0.0201308614727818</v>
      </c>
      <c r="AK74">
        <v>66.95037580231894</v>
      </c>
      <c r="AL74">
        <f>(AN74 - AM74 + BM74*1E3/(8.314*(BO74+273.15)) * AP74/BL74 * AO74) * BL74/(100*AZ74) * 1000/(1000 - AN74)</f>
        <v>0</v>
      </c>
      <c r="AM74">
        <v>15.01259906139515</v>
      </c>
      <c r="AN74">
        <v>16.84094545454544</v>
      </c>
      <c r="AO74">
        <v>0.005185238414526476</v>
      </c>
      <c r="AP74">
        <v>79.34410776651599</v>
      </c>
      <c r="AQ74">
        <v>225</v>
      </c>
      <c r="AR74">
        <v>28</v>
      </c>
      <c r="AS74">
        <f>IF(AQ74*$H$13&gt;=AU74,1.0,(AU74/(AU74-AQ74*$H$13)))</f>
        <v>0</v>
      </c>
      <c r="AT74">
        <f>(AS74-1)*100</f>
        <v>0</v>
      </c>
      <c r="AU74">
        <f>MAX(0,($B$13+$C$13*BT74)/(1+$D$13*BT74)*BM74/(BO74+273)*$E$13)</f>
        <v>0</v>
      </c>
      <c r="AV74">
        <f>$B$11*BU74+$C$11*BV74+$F$11*CG74*(1-CJ74)</f>
        <v>0</v>
      </c>
      <c r="AW74">
        <f>AV74*AX74</f>
        <v>0</v>
      </c>
      <c r="AX74">
        <f>($B$11*$D$9+$C$11*$D$9+$F$11*((CT74+CL74)/MAX(CT74+CL74+CU74, 0.1)*$I$9+CU74/MAX(CT74+CL74+CU74, 0.1)*$J$9))/($B$11+$C$11+$F$11)</f>
        <v>0</v>
      </c>
      <c r="AY74">
        <f>($B$11*$K$9+$C$11*$K$9+$F$11*((CT74+CL74)/MAX(CT74+CL74+CU74, 0.1)*$P$9+CU74/MAX(CT74+CL74+CU74, 0.1)*$Q$9))/($B$11+$C$11+$F$11)</f>
        <v>0</v>
      </c>
      <c r="AZ74">
        <v>6</v>
      </c>
      <c r="BA74">
        <v>0.5</v>
      </c>
      <c r="BB74" t="s">
        <v>353</v>
      </c>
      <c r="BC74">
        <v>2</v>
      </c>
      <c r="BD74" t="b">
        <v>0</v>
      </c>
      <c r="BE74">
        <v>1750704639.25</v>
      </c>
      <c r="BF74">
        <v>400.7629</v>
      </c>
      <c r="BG74">
        <v>404.9696</v>
      </c>
      <c r="BH74">
        <v>16.81336</v>
      </c>
      <c r="BI74">
        <v>14.95683666666667</v>
      </c>
      <c r="BJ74">
        <v>398.6829</v>
      </c>
      <c r="BK74">
        <v>16.66441</v>
      </c>
      <c r="BL74">
        <v>800.0266666666665</v>
      </c>
      <c r="BM74">
        <v>101.4992</v>
      </c>
      <c r="BN74">
        <v>0.1001643466666667</v>
      </c>
      <c r="BO74">
        <v>24.77989</v>
      </c>
      <c r="BP74">
        <v>24.70398</v>
      </c>
      <c r="BQ74">
        <v>999.9000000000002</v>
      </c>
      <c r="BR74">
        <v>0</v>
      </c>
      <c r="BS74">
        <v>0</v>
      </c>
      <c r="BT74">
        <v>10001.05933333333</v>
      </c>
      <c r="BU74">
        <v>0</v>
      </c>
      <c r="BV74">
        <v>0.00152894</v>
      </c>
      <c r="BW74">
        <v>-4.188390666666667</v>
      </c>
      <c r="BX74">
        <v>407.6349666666667</v>
      </c>
      <c r="BY74">
        <v>411.1186</v>
      </c>
      <c r="BZ74">
        <v>1.856520333333333</v>
      </c>
      <c r="CA74">
        <v>404.9696</v>
      </c>
      <c r="CB74">
        <v>14.95683666666667</v>
      </c>
      <c r="CC74">
        <v>1.706541666666666</v>
      </c>
      <c r="CD74">
        <v>1.518106</v>
      </c>
      <c r="CE74">
        <v>14.95606</v>
      </c>
      <c r="CF74">
        <v>13.15168</v>
      </c>
      <c r="CG74">
        <v>999.9636666666667</v>
      </c>
      <c r="CH74">
        <v>0.9599836999999999</v>
      </c>
      <c r="CI74">
        <v>0.04001605</v>
      </c>
      <c r="CJ74">
        <v>0</v>
      </c>
      <c r="CK74">
        <v>0.6313333333333334</v>
      </c>
      <c r="CL74">
        <v>0</v>
      </c>
      <c r="CM74">
        <v>5664.404333333333</v>
      </c>
      <c r="CN74">
        <v>7946.566333333334</v>
      </c>
      <c r="CO74">
        <v>36.02893333333333</v>
      </c>
      <c r="CP74">
        <v>39.29553333333332</v>
      </c>
      <c r="CQ74">
        <v>37.45399999999999</v>
      </c>
      <c r="CR74">
        <v>38.1956</v>
      </c>
      <c r="CS74">
        <v>36.383</v>
      </c>
      <c r="CT74">
        <v>959.9496666666666</v>
      </c>
      <c r="CU74">
        <v>40.01433333333333</v>
      </c>
      <c r="CV74">
        <v>0</v>
      </c>
      <c r="CW74">
        <v>1750704663.8</v>
      </c>
      <c r="CX74">
        <v>0</v>
      </c>
      <c r="CY74">
        <v>1750704664.5</v>
      </c>
      <c r="CZ74" t="s">
        <v>526</v>
      </c>
      <c r="DA74">
        <v>1750704664.5</v>
      </c>
      <c r="DB74">
        <v>1750704450</v>
      </c>
      <c r="DC74">
        <v>53</v>
      </c>
      <c r="DD74">
        <v>-0.017</v>
      </c>
      <c r="DE74">
        <v>-0.033</v>
      </c>
      <c r="DF74">
        <v>2.08</v>
      </c>
      <c r="DG74">
        <v>0.028</v>
      </c>
      <c r="DH74">
        <v>405</v>
      </c>
      <c r="DI74">
        <v>13</v>
      </c>
      <c r="DJ74">
        <v>0.32</v>
      </c>
      <c r="DK74">
        <v>0.02</v>
      </c>
      <c r="DL74">
        <v>-4.206669249999999</v>
      </c>
      <c r="DM74">
        <v>0.2394329831144529</v>
      </c>
      <c r="DN74">
        <v>0.03233791771183638</v>
      </c>
      <c r="DO74">
        <v>0</v>
      </c>
      <c r="DP74">
        <v>1.88926725</v>
      </c>
      <c r="DQ74">
        <v>-0.6392452908067568</v>
      </c>
      <c r="DR74">
        <v>0.06341553591145864</v>
      </c>
      <c r="DS74">
        <v>0</v>
      </c>
      <c r="DT74">
        <v>0</v>
      </c>
      <c r="DU74">
        <v>2</v>
      </c>
      <c r="DV74" t="s">
        <v>372</v>
      </c>
      <c r="DW74">
        <v>3.44842</v>
      </c>
      <c r="DX74">
        <v>2.78067</v>
      </c>
      <c r="DY74">
        <v>0.097043</v>
      </c>
      <c r="DZ74">
        <v>0.09813570000000001</v>
      </c>
      <c r="EA74">
        <v>0.0929957</v>
      </c>
      <c r="EB74">
        <v>0.0853298</v>
      </c>
      <c r="EC74">
        <v>27262.4</v>
      </c>
      <c r="ED74">
        <v>30996.6</v>
      </c>
      <c r="EE74">
        <v>29322.8</v>
      </c>
      <c r="EF74">
        <v>34953.2</v>
      </c>
      <c r="EG74">
        <v>30756.3</v>
      </c>
      <c r="EH74">
        <v>39709.6</v>
      </c>
      <c r="EI74">
        <v>36098.1</v>
      </c>
      <c r="EJ74">
        <v>46293.2</v>
      </c>
      <c r="EK74">
        <v>2.15595</v>
      </c>
      <c r="EL74">
        <v>2.25675</v>
      </c>
      <c r="EM74">
        <v>0.101358</v>
      </c>
      <c r="EN74">
        <v>0</v>
      </c>
      <c r="EO74">
        <v>23.0521</v>
      </c>
      <c r="EP74">
        <v>999.9</v>
      </c>
      <c r="EQ74">
        <v>54.4</v>
      </c>
      <c r="ER74">
        <v>26.5</v>
      </c>
      <c r="ES74">
        <v>18.6262</v>
      </c>
      <c r="ET74">
        <v>61.6564</v>
      </c>
      <c r="EU74">
        <v>25.9455</v>
      </c>
      <c r="EV74">
        <v>2</v>
      </c>
      <c r="EW74">
        <v>-0.347909</v>
      </c>
      <c r="EX74">
        <v>0</v>
      </c>
      <c r="EY74">
        <v>20.2938</v>
      </c>
      <c r="EZ74">
        <v>5.2137</v>
      </c>
      <c r="FA74">
        <v>11.9736</v>
      </c>
      <c r="FB74">
        <v>4.9912</v>
      </c>
      <c r="FC74">
        <v>3.272</v>
      </c>
      <c r="FD74">
        <v>2928.8</v>
      </c>
      <c r="FE74">
        <v>9999</v>
      </c>
      <c r="FF74">
        <v>9999</v>
      </c>
      <c r="FG74">
        <v>999.9</v>
      </c>
      <c r="FH74">
        <v>4.97255</v>
      </c>
      <c r="FI74">
        <v>1.86265</v>
      </c>
      <c r="FJ74">
        <v>1.86447</v>
      </c>
      <c r="FK74">
        <v>1.86294</v>
      </c>
      <c r="FL74">
        <v>1.86295</v>
      </c>
      <c r="FM74">
        <v>1.86346</v>
      </c>
      <c r="FN74">
        <v>1.85994</v>
      </c>
      <c r="FO74">
        <v>1.86279</v>
      </c>
      <c r="FP74">
        <v>0</v>
      </c>
      <c r="FQ74">
        <v>0</v>
      </c>
      <c r="FR74">
        <v>0</v>
      </c>
      <c r="FS74">
        <v>0</v>
      </c>
      <c r="FT74" t="s">
        <v>356</v>
      </c>
      <c r="FU74" t="s">
        <v>357</v>
      </c>
      <c r="FV74" t="s">
        <v>358</v>
      </c>
      <c r="FW74" t="s">
        <v>358</v>
      </c>
      <c r="FX74" t="s">
        <v>358</v>
      </c>
      <c r="FY74" t="s">
        <v>358</v>
      </c>
      <c r="FZ74">
        <v>0</v>
      </c>
      <c r="GA74">
        <v>100</v>
      </c>
      <c r="GB74">
        <v>100</v>
      </c>
      <c r="GC74">
        <v>2.08</v>
      </c>
      <c r="GD74">
        <v>0.1499</v>
      </c>
      <c r="GE74">
        <v>2.379870134558136</v>
      </c>
      <c r="GF74">
        <v>-0.001033730503750798</v>
      </c>
      <c r="GG74">
        <v>9.120241388950126E-07</v>
      </c>
      <c r="GH74">
        <v>-2.246115299815222E-10</v>
      </c>
      <c r="GI74">
        <v>-0.04122372306864884</v>
      </c>
      <c r="GJ74">
        <v>-0.01814858093373864</v>
      </c>
      <c r="GK74">
        <v>0.002091959988359369</v>
      </c>
      <c r="GL74">
        <v>-1.90871700788604E-05</v>
      </c>
      <c r="GM74">
        <v>2</v>
      </c>
      <c r="GN74">
        <v>2210</v>
      </c>
      <c r="GO74">
        <v>1</v>
      </c>
      <c r="GP74">
        <v>26</v>
      </c>
      <c r="GQ74">
        <v>3.5</v>
      </c>
      <c r="GR74">
        <v>3.3</v>
      </c>
      <c r="GS74">
        <v>1.26465</v>
      </c>
      <c r="GT74">
        <v>2.39746</v>
      </c>
      <c r="GU74">
        <v>2.34863</v>
      </c>
      <c r="GV74">
        <v>2.7478</v>
      </c>
      <c r="GW74">
        <v>2.39868</v>
      </c>
      <c r="GX74">
        <v>2.26929</v>
      </c>
      <c r="GY74">
        <v>31.0636</v>
      </c>
      <c r="GZ74">
        <v>11.8818</v>
      </c>
      <c r="HA74">
        <v>18</v>
      </c>
      <c r="HB74">
        <v>535.7190000000001</v>
      </c>
      <c r="HC74">
        <v>649.818</v>
      </c>
      <c r="HD74">
        <v>23.8665</v>
      </c>
      <c r="HE74">
        <v>22.936</v>
      </c>
      <c r="HF74">
        <v>30.0006</v>
      </c>
      <c r="HG74">
        <v>22.7488</v>
      </c>
      <c r="HH74">
        <v>22.687</v>
      </c>
      <c r="HI74">
        <v>25.3498</v>
      </c>
      <c r="HJ74">
        <v>24.2688</v>
      </c>
      <c r="HK74">
        <v>0</v>
      </c>
      <c r="HL74">
        <v>-999.9</v>
      </c>
      <c r="HM74">
        <v>405</v>
      </c>
      <c r="HN74">
        <v>15.0933</v>
      </c>
      <c r="HO74">
        <v>100.681</v>
      </c>
      <c r="HP74">
        <v>101.058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2025-06-22T18:41:58Z</dcterms:created>
  <dcterms:modified xsi:type="dcterms:W3CDTF">2025-06-22T18:41:58Z</dcterms:modified>
</cp:coreProperties>
</file>