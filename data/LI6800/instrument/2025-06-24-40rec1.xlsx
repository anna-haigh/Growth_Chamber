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<sst xmlns="http://schemas.openxmlformats.org/spreadsheetml/2006/main" count="1039" uniqueCount="411">
  <si>
    <t>File opened</t>
  </si>
  <si>
    <t>2025-06-24 09:58:36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</si>
  <si>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</si>
  <si>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</si>
  <si>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</si>
  <si>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</si>
  <si>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</si>
  <si>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</si>
  <si>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</si>
  <si>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</si>
  <si>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</si>
  <si>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</si>
  <si>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</si>
  <si>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</si>
  <si>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</si>
  <si>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</si>
  <si>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</si>
  <si>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</si>
  <si>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</si>
  <si>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</si>
  <si>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</si>
  <si>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</si>
  <si>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</si>
  <si>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</si>
  <si>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</si>
  <si>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</si>
  <si>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</si>
  <si>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</si>
  <si>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</si>
  <si>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09:58:36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</si>
  <si>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</si>
  <si>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</si>
  <si>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</si>
  <si>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</si>
  <si>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</si>
  <si>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</si>
  <si>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</si>
  <si>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</si>
  <si>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</si>
  <si>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</si>
  <si>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</si>
  <si>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</si>
  <si>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</si>
  <si>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</si>
  <si>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</si>
  <si>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</si>
  <si>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</si>
  <si>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</si>
  <si>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</si>
  <si>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</si>
  <si>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</si>
  <si>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</si>
  <si>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</si>
  <si>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</si>
  <si>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</si>
  <si>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</si>
  <si>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</si>
  <si>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</si>
  <si>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</si>
  <si>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</si>
  <si>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</si>
  <si>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</si>
  <si>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</si>
  <si>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</si>
  <si>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</si>
  <si>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</si>
  <si>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</si>
  <si>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</si>
  <si>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</si>
  <si>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</si>
  <si>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</si>
  <si>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</si>
  <si>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</si>
  <si>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</si>
  <si>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</si>
  <si>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</si>
  <si>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</si>
  <si>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</si>
  <si>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</si>
  <si>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</si>
  <si>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</si>
  <si>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</si>
  <si>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</si>
  <si>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2.18809 197.973 355.296 576.318 844.444 1058.56 1224.84 1388.13</t>
  </si>
  <si>
    <t>Fs_true</t>
  </si>
  <si>
    <t>0.60564 219.229 385.49 590.114 809.923 1001.56 1201.44 1400.6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</si>
  <si>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</si>
  <si>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</si>
  <si>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</si>
  <si>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</si>
  <si>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</si>
  <si>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</si>
  <si>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</si>
  <si>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</si>
  <si>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</si>
  <si>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</si>
  <si>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</si>
  <si>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</si>
  <si>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</si>
  <si>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</si>
  <si>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</si>
  <si>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</si>
  <si>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</si>
  <si>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</si>
  <si>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</si>
  <si>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</si>
  <si>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</si>
  <si>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</si>
  <si>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</si>
  <si>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</si>
  <si>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</si>
  <si>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</si>
  <si>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</si>
  <si>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</si>
  <si>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</si>
  <si>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</si>
  <si>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</si>
  <si>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</si>
  <si>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</si>
  <si>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</si>
  <si>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</si>
  <si>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</si>
  <si>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</si>
  <si>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</si>
  <si>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</si>
  <si>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</si>
  <si>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</si>
  <si>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</si>
  <si>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</si>
  <si>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</si>
  <si>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</si>
  <si>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</si>
  <si>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</si>
  <si>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</si>
  <si>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</si>
  <si>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</si>
  <si>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</si>
  <si>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</si>
  <si>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</si>
  <si>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</si>
  <si>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</si>
  <si>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</si>
  <si>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</si>
  <si>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</si>
  <si>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</si>
  <si>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</si>
  <si>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</si>
  <si>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</si>
  <si>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</si>
  <si>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</si>
  <si>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</si>
  <si>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</si>
  <si>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</si>
  <si>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</si>
  <si>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</si>
  <si>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</si>
  <si>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</si>
  <si>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</si>
  <si>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</si>
  <si>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</si>
  <si>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</si>
  <si>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</si>
  <si>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</si>
  <si>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</si>
  <si>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</si>
  <si>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</si>
  <si>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</si>
  <si>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</si>
  <si>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</si>
  <si>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</si>
  <si>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</si>
  <si>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</si>
  <si>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</si>
  <si>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</si>
  <si>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</si>
  <si>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</si>
  <si>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</si>
  <si>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</si>
  <si>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</si>
  <si>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</si>
  <si>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</si>
  <si>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</si>
  <si>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</si>
  <si>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</si>
  <si>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</si>
  <si>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</si>
  <si>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</si>
  <si>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</si>
  <si>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</si>
  <si>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</si>
  <si>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</si>
  <si>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</si>
  <si>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</si>
  <si>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</si>
  <si>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</si>
  <si>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</si>
  <si>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</si>
  <si>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</si>
  <si>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</si>
  <si>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</si>
  <si>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</si>
  <si>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</si>
  <si>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</si>
  <si>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</si>
  <si>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</si>
  <si>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</si>
  <si>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</si>
  <si>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</si>
  <si>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</si>
  <si>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</si>
  <si>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</si>
  <si>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</si>
  <si>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</si>
  <si>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</si>
  <si>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</si>
  <si>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</si>
  <si>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</si>
  <si>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</si>
  <si>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</si>
  <si>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</si>
  <si>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</si>
  <si>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</si>
  <si>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</si>
  <si>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</si>
  <si>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</si>
  <si>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</si>
  <si>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</si>
  <si>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</si>
  <si>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</si>
  <si>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</si>
  <si>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</si>
  <si>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</si>
  <si>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</si>
  <si>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</si>
  <si>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</si>
  <si>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</si>
  <si>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</si>
  <si>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</si>
  <si>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</si>
  <si>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</si>
  <si>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</si>
  <si>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</si>
  <si>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</si>
  <si>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</si>
  <si>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</si>
  <si>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</si>
  <si>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</si>
  <si>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</si>
  <si>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</si>
  <si>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</si>
  <si>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</si>
  <si>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</si>
  <si>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</si>
  <si>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</si>
  <si>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</si>
  <si>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</si>
  <si>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</si>
  <si>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</si>
  <si>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</si>
  <si>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</si>
  <si>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</si>
  <si>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</si>
  <si>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</si>
  <si>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</si>
  <si>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</si>
  <si>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</si>
  <si>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</si>
  <si>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</si>
  <si>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</si>
  <si>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</si>
  <si>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</si>
  <si>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</si>
  <si>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</si>
  <si>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</si>
  <si>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</si>
  <si>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</si>
  <si>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</si>
  <si>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</si>
  <si>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</si>
  <si>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</si>
  <si>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</si>
  <si>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</si>
  <si>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</si>
  <si>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</si>
  <si>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</si>
  <si>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</si>
  <si>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</si>
  <si>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</si>
  <si>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</si>
  <si>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</si>
  <si>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</si>
  <si>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</si>
  <si>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</si>
  <si>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</si>
  <si>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</si>
  <si>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</si>
  <si>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</si>
  <si>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</si>
  <si>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</si>
  <si>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</si>
  <si>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</si>
  <si>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</si>
  <si>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</si>
  <si>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</si>
  <si>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</si>
  <si>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</si>
  <si>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</si>
  <si>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</si>
  <si>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</si>
  <si>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</si>
  <si>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</si>
  <si>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</si>
  <si>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</si>
  <si>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</si>
  <si>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</si>
  <si>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</si>
  <si>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</si>
  <si>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</si>
  <si>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</si>
  <si>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</si>
  <si>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</si>
  <si>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</si>
  <si>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</si>
  <si>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</si>
  <si>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</si>
  <si>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</si>
  <si>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</si>
  <si>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</si>
  <si>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</si>
  <si>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</si>
  <si>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</si>
  <si>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</si>
  <si>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</si>
  <si>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</si>
  <si>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</si>
  <si>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</si>
  <si>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</si>
  <si>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</si>
  <si>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</si>
  <si>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</si>
  <si>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</si>
  <si>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</si>
  <si>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</si>
  <si>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</si>
  <si>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</si>
  <si>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</si>
  <si>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</si>
  <si>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</si>
  <si>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</si>
  <si>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</si>
  <si>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</si>
  <si>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20250625 10:10:25</t>
  </si>
  <si>
    <t>10:10:25</t>
  </si>
  <si>
    <t>1: Needles</t>
  </si>
  <si>
    <t>10:10:52</t>
  </si>
  <si>
    <t>0/2</t>
  </si>
  <si>
    <t>11111111</t>
  </si>
  <si>
    <t>oooooooo</t>
  </si>
  <si>
    <t>on</t>
  </si>
  <si>
    <t>20250625 10:12:45</t>
  </si>
  <si>
    <t>10:12:45</t>
  </si>
  <si>
    <t>10:13:03</t>
  </si>
  <si>
    <t>20250625 10:15:12</t>
  </si>
  <si>
    <t>10:15:12</t>
  </si>
  <si>
    <t>10:15:34</t>
  </si>
  <si>
    <t>1/2</t>
  </si>
  <si>
    <t>20250625 10:17:20</t>
  </si>
  <si>
    <t>10:17:20</t>
  </si>
  <si>
    <t>10:17:39</t>
  </si>
  <si>
    <t>20250625 10:19:23</t>
  </si>
  <si>
    <t>10:19:23</t>
  </si>
  <si>
    <t>10:19:41</t>
  </si>
  <si>
    <t>2/2</t>
  </si>
  <si>
    <t>20250625 10:21:13</t>
  </si>
  <si>
    <t>10:21:13</t>
  </si>
  <si>
    <t>10:21:30</t>
  </si>
  <si>
    <t>20250625 10:23:29</t>
  </si>
  <si>
    <t>10:23:29</t>
  </si>
  <si>
    <t>10:23:45</t>
  </si>
  <si>
    <t>20250625 10:25:46</t>
  </si>
  <si>
    <t>10:25:46</t>
  </si>
  <si>
    <t>10:26:03</t>
  </si>
  <si>
    <t>20250625 10:27:29</t>
  </si>
  <si>
    <t>10:27:29</t>
  </si>
  <si>
    <t>10:27:46</t>
  </si>
  <si>
    <t>20250625 10:30:50</t>
  </si>
  <si>
    <t>10:30:50</t>
  </si>
  <si>
    <t>10:31:07</t>
  </si>
  <si>
    <t>20250625 10:33:23</t>
  </si>
  <si>
    <t>10:33:23</t>
  </si>
  <si>
    <t>10:33:40</t>
  </si>
  <si>
    <t>20250625 10:35:59</t>
  </si>
  <si>
    <t>10:35:59</t>
  </si>
  <si>
    <t>10:36:20</t>
  </si>
  <si>
    <t>20250625 10:38:12</t>
  </si>
  <si>
    <t>10:38:12</t>
  </si>
  <si>
    <t>10:38:29</t>
  </si>
  <si>
    <t>20250625 10:40:14</t>
  </si>
  <si>
    <t>10:40:14</t>
  </si>
  <si>
    <t>10:40:31</t>
  </si>
  <si>
    <t>20250625 10:46:55</t>
  </si>
  <si>
    <t>10:46:55</t>
  </si>
  <si>
    <t>20250625 10:48:42</t>
  </si>
  <si>
    <t>10:48:42</t>
  </si>
  <si>
    <t>10:49:03</t>
  </si>
  <si>
    <t>20250625 10:51:56</t>
  </si>
  <si>
    <t>10:51:56</t>
  </si>
  <si>
    <t>10:52:22</t>
  </si>
  <si>
    <t>20250625 10:54:57</t>
  </si>
  <si>
    <t>10:54:57</t>
  </si>
  <si>
    <t>10:55:18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</si>
</sst>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34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1750871425.6</v>
      </c>
      <c r="C17">
        <v>0</v>
      </c>
      <c r="D17" t="s">
        <v>351</v>
      </c>
      <c r="E17" t="s">
        <v>352</v>
      </c>
      <c r="F17">
        <v>15</v>
      </c>
      <c r="G17">
        <v>1750871417.849999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410.5453828561336</v>
      </c>
      <c r="AI17">
        <v>427.8185090909089</v>
      </c>
      <c r="AJ17">
        <v>0.004739655030159953</v>
      </c>
      <c r="AK17">
        <v>66.95403845728266</v>
      </c>
      <c r="AL17">
        <f>(AN17 - AM17 + BM17*1E3/(8.314*(BO17+273.15)) * AP17/BL17 * AO17) * BL17/(100*AZ17) * 1000/(1000 - AN17)</f>
        <v>0</v>
      </c>
      <c r="AM17">
        <v>19.18154703671531</v>
      </c>
      <c r="AN17">
        <v>16.13494969696969</v>
      </c>
      <c r="AO17">
        <v>2.312255032725443E-06</v>
      </c>
      <c r="AP17">
        <v>79.23023206298099</v>
      </c>
      <c r="AQ17">
        <v>802</v>
      </c>
      <c r="AR17">
        <v>100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1750871417.849999</v>
      </c>
      <c r="BF17">
        <v>421.0307</v>
      </c>
      <c r="BG17">
        <v>402.6431</v>
      </c>
      <c r="BH17">
        <v>16.23951</v>
      </c>
      <c r="BI17">
        <v>19.17009000000001</v>
      </c>
      <c r="BJ17">
        <v>418.7647</v>
      </c>
      <c r="BK17">
        <v>16.01351</v>
      </c>
      <c r="BL17">
        <v>800.0198666666666</v>
      </c>
      <c r="BM17">
        <v>100.8133666666667</v>
      </c>
      <c r="BN17">
        <v>0.1024255</v>
      </c>
      <c r="BO17">
        <v>27.91114333333333</v>
      </c>
      <c r="BP17">
        <v>27.90789</v>
      </c>
      <c r="BQ17">
        <v>999.9000000000002</v>
      </c>
      <c r="BR17">
        <v>0</v>
      </c>
      <c r="BS17">
        <v>0</v>
      </c>
      <c r="BT17">
        <v>10014.582</v>
      </c>
      <c r="BU17">
        <v>0</v>
      </c>
      <c r="BV17">
        <v>0.001589141333333333</v>
      </c>
      <c r="BW17">
        <v>18.19611</v>
      </c>
      <c r="BX17">
        <v>427.7400333333333</v>
      </c>
      <c r="BY17">
        <v>410.5127333333333</v>
      </c>
      <c r="BZ17">
        <v>-3.036815</v>
      </c>
      <c r="CA17">
        <v>402.6431</v>
      </c>
      <c r="CB17">
        <v>19.17009000000001</v>
      </c>
      <c r="CC17">
        <v>1.626449333333334</v>
      </c>
      <c r="CD17">
        <v>1.932600666666667</v>
      </c>
      <c r="CE17">
        <v>14.21170333333333</v>
      </c>
      <c r="CF17">
        <v>16.90268333333333</v>
      </c>
      <c r="CG17">
        <v>1000.006366666666</v>
      </c>
      <c r="CH17">
        <v>0.9600030000000002</v>
      </c>
      <c r="CI17">
        <v>0.0399973</v>
      </c>
      <c r="CJ17">
        <v>0</v>
      </c>
      <c r="CK17">
        <v>1.6965</v>
      </c>
      <c r="CL17">
        <v>0</v>
      </c>
      <c r="CM17">
        <v>5250.989666666666</v>
      </c>
      <c r="CN17">
        <v>7946.974</v>
      </c>
      <c r="CO17">
        <v>35.937</v>
      </c>
      <c r="CP17">
        <v>39</v>
      </c>
      <c r="CQ17">
        <v>37.12913333333334</v>
      </c>
      <c r="CR17">
        <v>38.43699999999999</v>
      </c>
      <c r="CS17">
        <v>36.375</v>
      </c>
      <c r="CT17">
        <v>960.0069999999998</v>
      </c>
      <c r="CU17">
        <v>40</v>
      </c>
      <c r="CV17">
        <v>0</v>
      </c>
      <c r="CW17">
        <v>1750871442.4</v>
      </c>
      <c r="CX17">
        <v>0</v>
      </c>
      <c r="CY17">
        <v>1750871452.1</v>
      </c>
      <c r="CZ17" t="s">
        <v>354</v>
      </c>
      <c r="DA17">
        <v>1750871452.1</v>
      </c>
      <c r="DB17">
        <v>1750871448.6</v>
      </c>
      <c r="DC17">
        <v>1</v>
      </c>
      <c r="DD17">
        <v>0.181</v>
      </c>
      <c r="DE17">
        <v>-0.006</v>
      </c>
      <c r="DF17">
        <v>2.266</v>
      </c>
      <c r="DG17">
        <v>0.226</v>
      </c>
      <c r="DH17">
        <v>395</v>
      </c>
      <c r="DI17">
        <v>19</v>
      </c>
      <c r="DJ17">
        <v>0.12</v>
      </c>
      <c r="DK17">
        <v>0.02</v>
      </c>
      <c r="DL17">
        <v>18.1743925</v>
      </c>
      <c r="DM17">
        <v>0.398157973733556</v>
      </c>
      <c r="DN17">
        <v>0.04248960689097962</v>
      </c>
      <c r="DO17">
        <v>0</v>
      </c>
      <c r="DP17">
        <v>-3.03002225</v>
      </c>
      <c r="DQ17">
        <v>-0.132224352720441</v>
      </c>
      <c r="DR17">
        <v>0.01279699349212539</v>
      </c>
      <c r="DS17">
        <v>0</v>
      </c>
      <c r="DT17">
        <v>0</v>
      </c>
      <c r="DU17">
        <v>2</v>
      </c>
      <c r="DV17" t="s">
        <v>355</v>
      </c>
      <c r="DW17">
        <v>3.45105</v>
      </c>
      <c r="DX17">
        <v>2.78303</v>
      </c>
      <c r="DY17">
        <v>0.0989183</v>
      </c>
      <c r="DZ17">
        <v>0.09608369999999999</v>
      </c>
      <c r="EA17">
        <v>0.0886156</v>
      </c>
      <c r="EB17">
        <v>0.100061</v>
      </c>
      <c r="EC17">
        <v>27001.5</v>
      </c>
      <c r="ED17">
        <v>30885.2</v>
      </c>
      <c r="EE17">
        <v>29116.6</v>
      </c>
      <c r="EF17">
        <v>34767.9</v>
      </c>
      <c r="EG17">
        <v>30667.8</v>
      </c>
      <c r="EH17">
        <v>38834.7</v>
      </c>
      <c r="EI17">
        <v>35808.3</v>
      </c>
      <c r="EJ17">
        <v>46008.2</v>
      </c>
      <c r="EK17">
        <v>0.297</v>
      </c>
      <c r="EL17">
        <v>2.19125</v>
      </c>
      <c r="EM17">
        <v>0.0391975</v>
      </c>
      <c r="EN17">
        <v>0</v>
      </c>
      <c r="EO17">
        <v>27.324</v>
      </c>
      <c r="EP17">
        <v>999.9</v>
      </c>
      <c r="EQ17">
        <v>76.3</v>
      </c>
      <c r="ER17">
        <v>24.5</v>
      </c>
      <c r="ES17">
        <v>23.3581</v>
      </c>
      <c r="ET17">
        <v>61.61</v>
      </c>
      <c r="EU17">
        <v>25.1002</v>
      </c>
      <c r="EV17">
        <v>2</v>
      </c>
      <c r="EW17">
        <v>-0.0115676</v>
      </c>
      <c r="EX17">
        <v>0</v>
      </c>
      <c r="EY17">
        <v>20.2909</v>
      </c>
      <c r="EZ17">
        <v>5.20801</v>
      </c>
      <c r="FA17">
        <v>11.974</v>
      </c>
      <c r="FB17">
        <v>4.98885</v>
      </c>
      <c r="FC17">
        <v>3.27125</v>
      </c>
      <c r="FD17">
        <v>2952</v>
      </c>
      <c r="FE17">
        <v>9999</v>
      </c>
      <c r="FF17">
        <v>9999</v>
      </c>
      <c r="FG17">
        <v>999.9</v>
      </c>
      <c r="FH17">
        <v>4.97265</v>
      </c>
      <c r="FI17">
        <v>1.86264</v>
      </c>
      <c r="FJ17">
        <v>1.86447</v>
      </c>
      <c r="FK17">
        <v>1.86292</v>
      </c>
      <c r="FL17">
        <v>1.86291</v>
      </c>
      <c r="FM17">
        <v>1.86347</v>
      </c>
      <c r="FN17">
        <v>1.85992</v>
      </c>
      <c r="FO17">
        <v>1.86277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2.266</v>
      </c>
      <c r="GD17">
        <v>0.226</v>
      </c>
      <c r="GE17">
        <v>2.363987066649933</v>
      </c>
      <c r="GF17">
        <v>-0.001033730503750798</v>
      </c>
      <c r="GG17">
        <v>9.120241388950126E-07</v>
      </c>
      <c r="GH17">
        <v>-2.246115299815222E-10</v>
      </c>
      <c r="GI17">
        <v>-0.0476751732308747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2779.4</v>
      </c>
      <c r="GR17">
        <v>2782.9</v>
      </c>
      <c r="GS17">
        <v>1.06323</v>
      </c>
      <c r="GT17">
        <v>2.36694</v>
      </c>
      <c r="GU17">
        <v>2.34741</v>
      </c>
      <c r="GV17">
        <v>2.77344</v>
      </c>
      <c r="GW17">
        <v>2.39868</v>
      </c>
      <c r="GX17">
        <v>2.25464</v>
      </c>
      <c r="GY17">
        <v>30.7604</v>
      </c>
      <c r="GZ17">
        <v>13.9044</v>
      </c>
      <c r="HA17">
        <v>18</v>
      </c>
      <c r="HB17">
        <v>-0.90259</v>
      </c>
      <c r="HC17">
        <v>646.9930000000001</v>
      </c>
      <c r="HD17">
        <v>27.1654</v>
      </c>
      <c r="HE17">
        <v>27.3116</v>
      </c>
      <c r="HF17">
        <v>30.0017</v>
      </c>
      <c r="HG17">
        <v>27.3051</v>
      </c>
      <c r="HH17">
        <v>26.8161</v>
      </c>
      <c r="HI17">
        <v>21.3339</v>
      </c>
      <c r="HJ17">
        <v>27.3927</v>
      </c>
      <c r="HK17">
        <v>77.2345</v>
      </c>
      <c r="HL17">
        <v>-999.9</v>
      </c>
      <c r="HM17">
        <v>405</v>
      </c>
      <c r="HN17">
        <v>19.1274</v>
      </c>
      <c r="HO17">
        <v>99.9174</v>
      </c>
      <c r="HP17">
        <v>100.473</v>
      </c>
    </row>
    <row r="18" spans="1:224">
      <c r="A18">
        <v>2</v>
      </c>
      <c r="B18">
        <v>1750871565.1</v>
      </c>
      <c r="C18">
        <v>139.5</v>
      </c>
      <c r="D18" t="s">
        <v>359</v>
      </c>
      <c r="E18" t="s">
        <v>360</v>
      </c>
      <c r="F18">
        <v>15</v>
      </c>
      <c r="G18">
        <v>1750871557.099999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412.6790333004176</v>
      </c>
      <c r="AI18">
        <v>409.4449636363635</v>
      </c>
      <c r="AJ18">
        <v>0.001868129937619249</v>
      </c>
      <c r="AK18">
        <v>66.94882130962378</v>
      </c>
      <c r="AL18">
        <f>(AN18 - AM18 + BM18*1E3/(8.314*(BO18+273.15)) * AP18/BL18 * AO18) * BL18/(100*AZ18) * 1000/(1000 - AN18)</f>
        <v>0</v>
      </c>
      <c r="AM18">
        <v>20.88733556275945</v>
      </c>
      <c r="AN18">
        <v>21.49759636363636</v>
      </c>
      <c r="AO18">
        <v>0.001833660392485575</v>
      </c>
      <c r="AP18">
        <v>79.38072121455714</v>
      </c>
      <c r="AQ18">
        <v>1</v>
      </c>
      <c r="AR18">
        <v>0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1750871557.099999</v>
      </c>
      <c r="BF18">
        <v>400.5185806451613</v>
      </c>
      <c r="BG18">
        <v>404.0593548387096</v>
      </c>
      <c r="BH18">
        <v>21.41383225806452</v>
      </c>
      <c r="BI18">
        <v>20.86934838709677</v>
      </c>
      <c r="BJ18">
        <v>398.2935806451612</v>
      </c>
      <c r="BK18">
        <v>21.14483225806452</v>
      </c>
      <c r="BL18">
        <v>800.016935483871</v>
      </c>
      <c r="BM18">
        <v>100.8168709677419</v>
      </c>
      <c r="BN18">
        <v>0.09970877741935484</v>
      </c>
      <c r="BO18">
        <v>28.73777419354839</v>
      </c>
      <c r="BP18">
        <v>28.57505483870968</v>
      </c>
      <c r="BQ18">
        <v>999.9000000000003</v>
      </c>
      <c r="BR18">
        <v>0</v>
      </c>
      <c r="BS18">
        <v>0</v>
      </c>
      <c r="BT18">
        <v>10008.49161290323</v>
      </c>
      <c r="BU18">
        <v>0</v>
      </c>
      <c r="BV18">
        <v>0.0015536</v>
      </c>
      <c r="BW18">
        <v>-3.501571612903226</v>
      </c>
      <c r="BX18">
        <v>409.3430645161291</v>
      </c>
      <c r="BY18">
        <v>412.6715806451613</v>
      </c>
      <c r="BZ18">
        <v>0.5925380967741937</v>
      </c>
      <c r="CA18">
        <v>404.0593548387096</v>
      </c>
      <c r="CB18">
        <v>20.86934838709677</v>
      </c>
      <c r="CC18">
        <v>2.163720322580645</v>
      </c>
      <c r="CD18">
        <v>2.103981935483871</v>
      </c>
      <c r="CE18">
        <v>18.69617741935484</v>
      </c>
      <c r="CF18">
        <v>18.24935806451613</v>
      </c>
      <c r="CG18">
        <v>999.9946451612902</v>
      </c>
      <c r="CH18">
        <v>0.95999035483871</v>
      </c>
      <c r="CI18">
        <v>0.04000963225806452</v>
      </c>
      <c r="CJ18">
        <v>0</v>
      </c>
      <c r="CK18">
        <v>1.898548387096774</v>
      </c>
      <c r="CL18">
        <v>0</v>
      </c>
      <c r="CM18">
        <v>7902.801935483873</v>
      </c>
      <c r="CN18">
        <v>7946.839999999999</v>
      </c>
      <c r="CO18">
        <v>36.125</v>
      </c>
      <c r="CP18">
        <v>39.08435483870967</v>
      </c>
      <c r="CQ18">
        <v>37.25</v>
      </c>
      <c r="CR18">
        <v>38.56199999999998</v>
      </c>
      <c r="CS18">
        <v>36.625</v>
      </c>
      <c r="CT18">
        <v>959.9851612903227</v>
      </c>
      <c r="CU18">
        <v>40.01</v>
      </c>
      <c r="CV18">
        <v>0</v>
      </c>
      <c r="CW18">
        <v>1750871581.6</v>
      </c>
      <c r="CX18">
        <v>0</v>
      </c>
      <c r="CY18">
        <v>1750871583.6</v>
      </c>
      <c r="CZ18" t="s">
        <v>361</v>
      </c>
      <c r="DA18">
        <v>1750871583.6</v>
      </c>
      <c r="DB18">
        <v>1750871582.1</v>
      </c>
      <c r="DC18">
        <v>2</v>
      </c>
      <c r="DD18">
        <v>-0.038</v>
      </c>
      <c r="DE18">
        <v>-0.027</v>
      </c>
      <c r="DF18">
        <v>2.225</v>
      </c>
      <c r="DG18">
        <v>0.269</v>
      </c>
      <c r="DH18">
        <v>402</v>
      </c>
      <c r="DI18">
        <v>21</v>
      </c>
      <c r="DJ18">
        <v>0.49</v>
      </c>
      <c r="DK18">
        <v>0.11</v>
      </c>
      <c r="DL18">
        <v>-3.569537560975609</v>
      </c>
      <c r="DM18">
        <v>1.271490940766551</v>
      </c>
      <c r="DN18">
        <v>0.1302765112531613</v>
      </c>
      <c r="DO18">
        <v>0</v>
      </c>
      <c r="DP18">
        <v>0.5843329268292683</v>
      </c>
      <c r="DQ18">
        <v>0.1477999860627186</v>
      </c>
      <c r="DR18">
        <v>0.01498116694694399</v>
      </c>
      <c r="DS18">
        <v>0</v>
      </c>
      <c r="DT18">
        <v>0</v>
      </c>
      <c r="DU18">
        <v>2</v>
      </c>
      <c r="DV18" t="s">
        <v>355</v>
      </c>
      <c r="DW18">
        <v>3.45175</v>
      </c>
      <c r="DX18">
        <v>2.7803</v>
      </c>
      <c r="DY18">
        <v>0.0952148</v>
      </c>
      <c r="DZ18">
        <v>0.0962113</v>
      </c>
      <c r="EA18">
        <v>0.108432</v>
      </c>
      <c r="EB18">
        <v>0.106113</v>
      </c>
      <c r="EC18">
        <v>27092.3</v>
      </c>
      <c r="ED18">
        <v>30859.3</v>
      </c>
      <c r="EE18">
        <v>29096.4</v>
      </c>
      <c r="EF18">
        <v>34745.9</v>
      </c>
      <c r="EG18">
        <v>29973.3</v>
      </c>
      <c r="EH18">
        <v>38548.4</v>
      </c>
      <c r="EI18">
        <v>35782.2</v>
      </c>
      <c r="EJ18">
        <v>45977.5</v>
      </c>
      <c r="EK18">
        <v>2.47547</v>
      </c>
      <c r="EL18">
        <v>2.1815</v>
      </c>
      <c r="EM18">
        <v>0.0310168</v>
      </c>
      <c r="EN18">
        <v>0</v>
      </c>
      <c r="EO18">
        <v>28.1083</v>
      </c>
      <c r="EP18">
        <v>999.9</v>
      </c>
      <c r="EQ18">
        <v>76</v>
      </c>
      <c r="ER18">
        <v>25</v>
      </c>
      <c r="ES18">
        <v>23.9661</v>
      </c>
      <c r="ET18">
        <v>62.13</v>
      </c>
      <c r="EU18">
        <v>24.5072</v>
      </c>
      <c r="EV18">
        <v>2</v>
      </c>
      <c r="EW18">
        <v>0.0269715</v>
      </c>
      <c r="EX18">
        <v>0</v>
      </c>
      <c r="EY18">
        <v>20.2906</v>
      </c>
      <c r="EZ18">
        <v>5.20621</v>
      </c>
      <c r="FA18">
        <v>11.974</v>
      </c>
      <c r="FB18">
        <v>4.9892</v>
      </c>
      <c r="FC18">
        <v>3.27125</v>
      </c>
      <c r="FD18">
        <v>2956.1</v>
      </c>
      <c r="FE18">
        <v>9999</v>
      </c>
      <c r="FF18">
        <v>9999</v>
      </c>
      <c r="FG18">
        <v>999.9</v>
      </c>
      <c r="FH18">
        <v>4.97264</v>
      </c>
      <c r="FI18">
        <v>1.86268</v>
      </c>
      <c r="FJ18">
        <v>1.86447</v>
      </c>
      <c r="FK18">
        <v>1.86295</v>
      </c>
      <c r="FL18">
        <v>1.86295</v>
      </c>
      <c r="FM18">
        <v>1.86355</v>
      </c>
      <c r="FN18">
        <v>1.86</v>
      </c>
      <c r="FO18">
        <v>1.86279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2.225</v>
      </c>
      <c r="GD18">
        <v>0.269</v>
      </c>
      <c r="GE18">
        <v>2.545378769779526</v>
      </c>
      <c r="GF18">
        <v>-0.001033730503750798</v>
      </c>
      <c r="GG18">
        <v>9.120241388950126E-07</v>
      </c>
      <c r="GH18">
        <v>-2.246115299815222E-10</v>
      </c>
      <c r="GI18">
        <v>-0.05406220090139752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1.9</v>
      </c>
      <c r="GR18">
        <v>1.9</v>
      </c>
      <c r="GS18">
        <v>1.17432</v>
      </c>
      <c r="GT18">
        <v>2.37183</v>
      </c>
      <c r="GU18">
        <v>2.34741</v>
      </c>
      <c r="GV18">
        <v>2.771</v>
      </c>
      <c r="GW18">
        <v>2.39868</v>
      </c>
      <c r="GX18">
        <v>2.2583</v>
      </c>
      <c r="GY18">
        <v>31.3898</v>
      </c>
      <c r="GZ18">
        <v>13.8781</v>
      </c>
      <c r="HA18">
        <v>18</v>
      </c>
      <c r="HB18">
        <v>830.504</v>
      </c>
      <c r="HC18">
        <v>646.133</v>
      </c>
      <c r="HD18">
        <v>27.8768</v>
      </c>
      <c r="HE18">
        <v>27.8471</v>
      </c>
      <c r="HF18">
        <v>30.0012</v>
      </c>
      <c r="HG18">
        <v>27.5017</v>
      </c>
      <c r="HH18">
        <v>27.4287</v>
      </c>
      <c r="HI18">
        <v>23.5708</v>
      </c>
      <c r="HJ18">
        <v>22.4004</v>
      </c>
      <c r="HK18">
        <v>81.9256</v>
      </c>
      <c r="HL18">
        <v>-999.9</v>
      </c>
      <c r="HM18">
        <v>405</v>
      </c>
      <c r="HN18">
        <v>20.8929</v>
      </c>
      <c r="HO18">
        <v>99.84610000000001</v>
      </c>
      <c r="HP18">
        <v>100.407</v>
      </c>
    </row>
    <row r="19" spans="1:224">
      <c r="A19">
        <v>3</v>
      </c>
      <c r="B19">
        <v>1750871712.1</v>
      </c>
      <c r="C19">
        <v>286.5</v>
      </c>
      <c r="D19" t="s">
        <v>362</v>
      </c>
      <c r="E19" t="s">
        <v>363</v>
      </c>
      <c r="F19">
        <v>15</v>
      </c>
      <c r="G19">
        <v>1750871704.349999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412.8849177887865</v>
      </c>
      <c r="AI19">
        <v>406.2869333333333</v>
      </c>
      <c r="AJ19">
        <v>-0.001072448288810821</v>
      </c>
      <c r="AK19">
        <v>66.94846920769486</v>
      </c>
      <c r="AL19">
        <f>(AN19 - AM19 + BM19*1E3/(8.314*(BO19+273.15)) * AP19/BL19 * AO19) * BL19/(100*AZ19) * 1000/(1000 - AN19)</f>
        <v>0</v>
      </c>
      <c r="AM19">
        <v>20.84270714453837</v>
      </c>
      <c r="AN19">
        <v>22.23724666666666</v>
      </c>
      <c r="AO19">
        <v>0.007277441771143911</v>
      </c>
      <c r="AP19">
        <v>79.38214142588899</v>
      </c>
      <c r="AQ19">
        <v>228</v>
      </c>
      <c r="AR19">
        <v>29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1750871704.349999</v>
      </c>
      <c r="BF19">
        <v>397.2998</v>
      </c>
      <c r="BG19">
        <v>404.2944666666667</v>
      </c>
      <c r="BH19">
        <v>22.19804333333333</v>
      </c>
      <c r="BI19">
        <v>20.80610333333333</v>
      </c>
      <c r="BJ19">
        <v>395.0378</v>
      </c>
      <c r="BK19">
        <v>21.87453666666667</v>
      </c>
      <c r="BL19">
        <v>799.9958333333333</v>
      </c>
      <c r="BM19">
        <v>100.8111666666667</v>
      </c>
      <c r="BN19">
        <v>0.1000424033333333</v>
      </c>
      <c r="BO19">
        <v>29.33985666666666</v>
      </c>
      <c r="BP19">
        <v>29.36045666666666</v>
      </c>
      <c r="BQ19">
        <v>999.9000000000002</v>
      </c>
      <c r="BR19">
        <v>0</v>
      </c>
      <c r="BS19">
        <v>0</v>
      </c>
      <c r="BT19">
        <v>10003.32966666667</v>
      </c>
      <c r="BU19">
        <v>0</v>
      </c>
      <c r="BV19">
        <v>0.001562066333333333</v>
      </c>
      <c r="BW19">
        <v>-7.028992333333333</v>
      </c>
      <c r="BX19">
        <v>406.2841</v>
      </c>
      <c r="BY19">
        <v>412.885</v>
      </c>
      <c r="BZ19">
        <v>1.391946</v>
      </c>
      <c r="CA19">
        <v>404.2944666666667</v>
      </c>
      <c r="CB19">
        <v>20.80610333333333</v>
      </c>
      <c r="CC19">
        <v>2.237809666666667</v>
      </c>
      <c r="CD19">
        <v>2.097486333333333</v>
      </c>
      <c r="CE19">
        <v>19.23557666666666</v>
      </c>
      <c r="CF19">
        <v>18.20009333333333</v>
      </c>
      <c r="CG19">
        <v>1000.019666666667</v>
      </c>
      <c r="CH19">
        <v>0.9599897666666666</v>
      </c>
      <c r="CI19">
        <v>0.04001033333333333</v>
      </c>
      <c r="CJ19">
        <v>0</v>
      </c>
      <c r="CK19">
        <v>1.9485</v>
      </c>
      <c r="CL19">
        <v>0</v>
      </c>
      <c r="CM19">
        <v>8987.926000000001</v>
      </c>
      <c r="CN19">
        <v>7947.033333333335</v>
      </c>
      <c r="CO19">
        <v>36.30993333333333</v>
      </c>
      <c r="CP19">
        <v>39.25</v>
      </c>
      <c r="CQ19">
        <v>37.38120000000001</v>
      </c>
      <c r="CR19">
        <v>38.75</v>
      </c>
      <c r="CS19">
        <v>36.875</v>
      </c>
      <c r="CT19">
        <v>960.0093333333333</v>
      </c>
      <c r="CU19">
        <v>40.01</v>
      </c>
      <c r="CV19">
        <v>0</v>
      </c>
      <c r="CW19">
        <v>1750871728.6</v>
      </c>
      <c r="CX19">
        <v>0</v>
      </c>
      <c r="CY19">
        <v>1750871734.1</v>
      </c>
      <c r="CZ19" t="s">
        <v>364</v>
      </c>
      <c r="DA19">
        <v>1750871734.1</v>
      </c>
      <c r="DB19">
        <v>1750871582.1</v>
      </c>
      <c r="DC19">
        <v>3</v>
      </c>
      <c r="DD19">
        <v>0.037</v>
      </c>
      <c r="DE19">
        <v>-0.027</v>
      </c>
      <c r="DF19">
        <v>2.262</v>
      </c>
      <c r="DG19">
        <v>0.269</v>
      </c>
      <c r="DH19">
        <v>403</v>
      </c>
      <c r="DI19">
        <v>21</v>
      </c>
      <c r="DJ19">
        <v>0.25</v>
      </c>
      <c r="DK19">
        <v>0.11</v>
      </c>
      <c r="DL19">
        <v>-7.034737804878049</v>
      </c>
      <c r="DM19">
        <v>0.30689644599303</v>
      </c>
      <c r="DN19">
        <v>0.05538616493234705</v>
      </c>
      <c r="DO19">
        <v>0</v>
      </c>
      <c r="DP19">
        <v>1.39002243902439</v>
      </c>
      <c r="DQ19">
        <v>0.003385087108013729</v>
      </c>
      <c r="DR19">
        <v>0.006917868972763981</v>
      </c>
      <c r="DS19">
        <v>1</v>
      </c>
      <c r="DT19">
        <v>1</v>
      </c>
      <c r="DU19">
        <v>2</v>
      </c>
      <c r="DV19" t="s">
        <v>365</v>
      </c>
      <c r="DW19">
        <v>3.45188</v>
      </c>
      <c r="DX19">
        <v>2.78031</v>
      </c>
      <c r="DY19">
        <v>0.0944638</v>
      </c>
      <c r="DZ19">
        <v>0.0961144</v>
      </c>
      <c r="EA19">
        <v>0.110934</v>
      </c>
      <c r="EB19">
        <v>0.105806</v>
      </c>
      <c r="EC19">
        <v>27096.1</v>
      </c>
      <c r="ED19">
        <v>30841.9</v>
      </c>
      <c r="EE19">
        <v>29078</v>
      </c>
      <c r="EF19">
        <v>34724.9</v>
      </c>
      <c r="EG19">
        <v>29870.7</v>
      </c>
      <c r="EH19">
        <v>38538.3</v>
      </c>
      <c r="EI19">
        <v>35759.2</v>
      </c>
      <c r="EJ19">
        <v>45948.8</v>
      </c>
      <c r="EK19">
        <v>2.11075</v>
      </c>
      <c r="EL19">
        <v>2.16747</v>
      </c>
      <c r="EM19">
        <v>0.0458434</v>
      </c>
      <c r="EN19">
        <v>0</v>
      </c>
      <c r="EO19">
        <v>28.6505</v>
      </c>
      <c r="EP19">
        <v>999.9</v>
      </c>
      <c r="EQ19">
        <v>75.3</v>
      </c>
      <c r="ER19">
        <v>25.6</v>
      </c>
      <c r="ES19">
        <v>24.6141</v>
      </c>
      <c r="ET19">
        <v>61.95</v>
      </c>
      <c r="EU19">
        <v>24.5192</v>
      </c>
      <c r="EV19">
        <v>2</v>
      </c>
      <c r="EW19">
        <v>0.0622459</v>
      </c>
      <c r="EX19">
        <v>0</v>
      </c>
      <c r="EY19">
        <v>20.2899</v>
      </c>
      <c r="EZ19">
        <v>5.20606</v>
      </c>
      <c r="FA19">
        <v>11.974</v>
      </c>
      <c r="FB19">
        <v>4.989</v>
      </c>
      <c r="FC19">
        <v>3.2714</v>
      </c>
      <c r="FD19">
        <v>2960.6</v>
      </c>
      <c r="FE19">
        <v>9999</v>
      </c>
      <c r="FF19">
        <v>9999</v>
      </c>
      <c r="FG19">
        <v>999.9</v>
      </c>
      <c r="FH19">
        <v>4.97264</v>
      </c>
      <c r="FI19">
        <v>1.86277</v>
      </c>
      <c r="FJ19">
        <v>1.86461</v>
      </c>
      <c r="FK19">
        <v>1.86298</v>
      </c>
      <c r="FL19">
        <v>1.86299</v>
      </c>
      <c r="FM19">
        <v>1.86356</v>
      </c>
      <c r="FN19">
        <v>1.86005</v>
      </c>
      <c r="FO19">
        <v>1.86282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2.262</v>
      </c>
      <c r="GD19">
        <v>0.3254</v>
      </c>
      <c r="GE19">
        <v>2.507521345486953</v>
      </c>
      <c r="GF19">
        <v>-0.001033730503750798</v>
      </c>
      <c r="GG19">
        <v>9.120241388950126E-07</v>
      </c>
      <c r="GH19">
        <v>-2.246115299815222E-10</v>
      </c>
      <c r="GI19">
        <v>-0.08071160139803679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2.1</v>
      </c>
      <c r="GR19">
        <v>2.2</v>
      </c>
      <c r="GS19">
        <v>1.21704</v>
      </c>
      <c r="GT19">
        <v>2.36572</v>
      </c>
      <c r="GU19">
        <v>2.34741</v>
      </c>
      <c r="GV19">
        <v>2.76978</v>
      </c>
      <c r="GW19">
        <v>2.39868</v>
      </c>
      <c r="GX19">
        <v>2.28027</v>
      </c>
      <c r="GY19">
        <v>31.9805</v>
      </c>
      <c r="GZ19">
        <v>13.8518</v>
      </c>
      <c r="HA19">
        <v>18</v>
      </c>
      <c r="HB19">
        <v>557.082</v>
      </c>
      <c r="HC19">
        <v>641.119</v>
      </c>
      <c r="HD19">
        <v>28.5358</v>
      </c>
      <c r="HE19">
        <v>28.3631</v>
      </c>
      <c r="HF19">
        <v>30.0012</v>
      </c>
      <c r="HG19">
        <v>28.0704</v>
      </c>
      <c r="HH19">
        <v>27.9903</v>
      </c>
      <c r="HI19">
        <v>24.403</v>
      </c>
      <c r="HJ19">
        <v>23.9959</v>
      </c>
      <c r="HK19">
        <v>84.06359999999999</v>
      </c>
      <c r="HL19">
        <v>-999.9</v>
      </c>
      <c r="HM19">
        <v>405</v>
      </c>
      <c r="HN19">
        <v>20.9676</v>
      </c>
      <c r="HO19">
        <v>99.7824</v>
      </c>
      <c r="HP19">
        <v>100.345</v>
      </c>
    </row>
    <row r="20" spans="1:224">
      <c r="A20">
        <v>4</v>
      </c>
      <c r="B20">
        <v>1750871840.6</v>
      </c>
      <c r="C20">
        <v>415</v>
      </c>
      <c r="D20" t="s">
        <v>366</v>
      </c>
      <c r="E20" t="s">
        <v>367</v>
      </c>
      <c r="F20">
        <v>15</v>
      </c>
      <c r="G20">
        <v>1750871832.849999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413.7948929758944</v>
      </c>
      <c r="AI20">
        <v>409.442484848485</v>
      </c>
      <c r="AJ20">
        <v>0.001212350666432414</v>
      </c>
      <c r="AK20">
        <v>66.94628209993935</v>
      </c>
      <c r="AL20">
        <f>(AN20 - AM20 + BM20*1E3/(8.314*(BO20+273.15)) * AP20/BL20 * AO20) * BL20/(100*AZ20) * 1000/(1000 - AN20)</f>
        <v>0</v>
      </c>
      <c r="AM20">
        <v>21.8805436903926</v>
      </c>
      <c r="AN20">
        <v>22.83051636363636</v>
      </c>
      <c r="AO20">
        <v>0.0006611811491261501</v>
      </c>
      <c r="AP20">
        <v>79.51116878908071</v>
      </c>
      <c r="AQ20">
        <v>209</v>
      </c>
      <c r="AR20">
        <v>26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1750871832.849999</v>
      </c>
      <c r="BF20">
        <v>400.0102666666667</v>
      </c>
      <c r="BG20">
        <v>404.7838333333333</v>
      </c>
      <c r="BH20">
        <v>22.74598333333333</v>
      </c>
      <c r="BI20">
        <v>21.86651666666667</v>
      </c>
      <c r="BJ20">
        <v>397.7942666666667</v>
      </c>
      <c r="BK20">
        <v>22.45598333333334</v>
      </c>
      <c r="BL20">
        <v>800.0169333333334</v>
      </c>
      <c r="BM20">
        <v>100.8031333333333</v>
      </c>
      <c r="BN20">
        <v>0.1001276966666667</v>
      </c>
      <c r="BO20">
        <v>29.74215333333334</v>
      </c>
      <c r="BP20">
        <v>29.62303333333333</v>
      </c>
      <c r="BQ20">
        <v>999.9000000000002</v>
      </c>
      <c r="BR20">
        <v>0</v>
      </c>
      <c r="BS20">
        <v>0</v>
      </c>
      <c r="BT20">
        <v>9994.121333333334</v>
      </c>
      <c r="BU20">
        <v>0</v>
      </c>
      <c r="BV20">
        <v>0.001554422</v>
      </c>
      <c r="BW20">
        <v>-4.726265666666667</v>
      </c>
      <c r="BX20">
        <v>409.3944333333333</v>
      </c>
      <c r="BY20">
        <v>413.8330666666667</v>
      </c>
      <c r="BZ20">
        <v>0.9399963666666669</v>
      </c>
      <c r="CA20">
        <v>404.7838333333333</v>
      </c>
      <c r="CB20">
        <v>21.86651666666667</v>
      </c>
      <c r="CC20">
        <v>2.298968</v>
      </c>
      <c r="CD20">
        <v>2.204213666666667</v>
      </c>
      <c r="CE20">
        <v>19.66917</v>
      </c>
      <c r="CF20">
        <v>18.99296666666667</v>
      </c>
      <c r="CG20">
        <v>1000.018433333333</v>
      </c>
      <c r="CH20">
        <v>0.9600023</v>
      </c>
      <c r="CI20">
        <v>0.03999761999999999</v>
      </c>
      <c r="CJ20">
        <v>0</v>
      </c>
      <c r="CK20">
        <v>1.620499999999999</v>
      </c>
      <c r="CL20">
        <v>0</v>
      </c>
      <c r="CM20">
        <v>6245.502666666668</v>
      </c>
      <c r="CN20">
        <v>7947.072</v>
      </c>
      <c r="CO20">
        <v>36.437</v>
      </c>
      <c r="CP20">
        <v>39.43699999999998</v>
      </c>
      <c r="CQ20">
        <v>37.5956</v>
      </c>
      <c r="CR20">
        <v>38.81199999999999</v>
      </c>
      <c r="CS20">
        <v>37.06199999999999</v>
      </c>
      <c r="CT20">
        <v>960.0186666666667</v>
      </c>
      <c r="CU20">
        <v>40</v>
      </c>
      <c r="CV20">
        <v>0</v>
      </c>
      <c r="CW20">
        <v>1750871857.6</v>
      </c>
      <c r="CX20">
        <v>0</v>
      </c>
      <c r="CY20">
        <v>1750871859.6</v>
      </c>
      <c r="CZ20" t="s">
        <v>368</v>
      </c>
      <c r="DA20">
        <v>1750871857.6</v>
      </c>
      <c r="DB20">
        <v>1750871859.6</v>
      </c>
      <c r="DC20">
        <v>4</v>
      </c>
      <c r="DD20">
        <v>-0.045</v>
      </c>
      <c r="DE20">
        <v>-0.022</v>
      </c>
      <c r="DF20">
        <v>2.216</v>
      </c>
      <c r="DG20">
        <v>0.29</v>
      </c>
      <c r="DH20">
        <v>404</v>
      </c>
      <c r="DI20">
        <v>22</v>
      </c>
      <c r="DJ20">
        <v>0.28</v>
      </c>
      <c r="DK20">
        <v>0.11</v>
      </c>
      <c r="DL20">
        <v>-4.770720975609756</v>
      </c>
      <c r="DM20">
        <v>0.9504002090592297</v>
      </c>
      <c r="DN20">
        <v>0.1148120934992579</v>
      </c>
      <c r="DO20">
        <v>0</v>
      </c>
      <c r="DP20">
        <v>0.9151294634146342</v>
      </c>
      <c r="DQ20">
        <v>0.3588206550522651</v>
      </c>
      <c r="DR20">
        <v>0.04398691575862052</v>
      </c>
      <c r="DS20">
        <v>0</v>
      </c>
      <c r="DT20">
        <v>0</v>
      </c>
      <c r="DU20">
        <v>2</v>
      </c>
      <c r="DV20" t="s">
        <v>355</v>
      </c>
      <c r="DW20">
        <v>3.45253</v>
      </c>
      <c r="DX20">
        <v>2.78065</v>
      </c>
      <c r="DY20">
        <v>0.0948727</v>
      </c>
      <c r="DZ20">
        <v>0.0960879</v>
      </c>
      <c r="EA20">
        <v>0.112831</v>
      </c>
      <c r="EB20">
        <v>0.109351</v>
      </c>
      <c r="EC20">
        <v>27068.3</v>
      </c>
      <c r="ED20">
        <v>30827</v>
      </c>
      <c r="EE20">
        <v>29062.6</v>
      </c>
      <c r="EF20">
        <v>34708.9</v>
      </c>
      <c r="EG20">
        <v>29791.4</v>
      </c>
      <c r="EH20">
        <v>38368.3</v>
      </c>
      <c r="EI20">
        <v>35739.8</v>
      </c>
      <c r="EJ20">
        <v>45927.5</v>
      </c>
      <c r="EK20">
        <v>2.13525</v>
      </c>
      <c r="EL20">
        <v>2.15935</v>
      </c>
      <c r="EM20">
        <v>0.0392422</v>
      </c>
      <c r="EN20">
        <v>0</v>
      </c>
      <c r="EO20">
        <v>29.036</v>
      </c>
      <c r="EP20">
        <v>999.9</v>
      </c>
      <c r="EQ20">
        <v>74.8</v>
      </c>
      <c r="ER20">
        <v>26</v>
      </c>
      <c r="ES20">
        <v>25.0354</v>
      </c>
      <c r="ET20">
        <v>61.96</v>
      </c>
      <c r="EU20">
        <v>24.395</v>
      </c>
      <c r="EV20">
        <v>2</v>
      </c>
      <c r="EW20">
        <v>0.0900991</v>
      </c>
      <c r="EX20">
        <v>0</v>
      </c>
      <c r="EY20">
        <v>20.2902</v>
      </c>
      <c r="EZ20">
        <v>5.20995</v>
      </c>
      <c r="FA20">
        <v>11.974</v>
      </c>
      <c r="FB20">
        <v>4.9897</v>
      </c>
      <c r="FC20">
        <v>3.272</v>
      </c>
      <c r="FD20">
        <v>2964.4</v>
      </c>
      <c r="FE20">
        <v>9999</v>
      </c>
      <c r="FF20">
        <v>9999</v>
      </c>
      <c r="FG20">
        <v>999.9</v>
      </c>
      <c r="FH20">
        <v>4.97264</v>
      </c>
      <c r="FI20">
        <v>1.86279</v>
      </c>
      <c r="FJ20">
        <v>1.86462</v>
      </c>
      <c r="FK20">
        <v>1.8631</v>
      </c>
      <c r="FL20">
        <v>1.86308</v>
      </c>
      <c r="FM20">
        <v>1.86359</v>
      </c>
      <c r="FN20">
        <v>1.86007</v>
      </c>
      <c r="FO20">
        <v>1.86294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2.216</v>
      </c>
      <c r="GD20">
        <v>0.29</v>
      </c>
      <c r="GE20">
        <v>2.544391166756215</v>
      </c>
      <c r="GF20">
        <v>-0.001033730503750798</v>
      </c>
      <c r="GG20">
        <v>9.120241388950126E-07</v>
      </c>
      <c r="GH20">
        <v>-2.246115299815222E-10</v>
      </c>
      <c r="GI20">
        <v>-0.08071160139803679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1.8</v>
      </c>
      <c r="GR20">
        <v>4.3</v>
      </c>
      <c r="GS20">
        <v>1.24268</v>
      </c>
      <c r="GT20">
        <v>2.37305</v>
      </c>
      <c r="GU20">
        <v>2.34741</v>
      </c>
      <c r="GV20">
        <v>2.76611</v>
      </c>
      <c r="GW20">
        <v>2.39868</v>
      </c>
      <c r="GX20">
        <v>2.29492</v>
      </c>
      <c r="GY20">
        <v>32.4433</v>
      </c>
      <c r="GZ20">
        <v>13.8256</v>
      </c>
      <c r="HA20">
        <v>18</v>
      </c>
      <c r="HB20">
        <v>577.197</v>
      </c>
      <c r="HC20">
        <v>639.3049999999999</v>
      </c>
      <c r="HD20">
        <v>29.0374</v>
      </c>
      <c r="HE20">
        <v>28.7723</v>
      </c>
      <c r="HF20">
        <v>30.001</v>
      </c>
      <c r="HG20">
        <v>28.4933</v>
      </c>
      <c r="HH20">
        <v>28.4168</v>
      </c>
      <c r="HI20">
        <v>24.9364</v>
      </c>
      <c r="HJ20">
        <v>21.1875</v>
      </c>
      <c r="HK20">
        <v>87.4152</v>
      </c>
      <c r="HL20">
        <v>-999.9</v>
      </c>
      <c r="HM20">
        <v>405</v>
      </c>
      <c r="HN20">
        <v>21.8058</v>
      </c>
      <c r="HO20">
        <v>99.72880000000001</v>
      </c>
      <c r="HP20">
        <v>100.299</v>
      </c>
    </row>
    <row r="21" spans="1:224">
      <c r="A21">
        <v>5</v>
      </c>
      <c r="B21">
        <v>1750871963.5</v>
      </c>
      <c r="C21">
        <v>537.9000000953674</v>
      </c>
      <c r="D21" t="s">
        <v>369</v>
      </c>
      <c r="E21" t="s">
        <v>370</v>
      </c>
      <c r="F21">
        <v>15</v>
      </c>
      <c r="G21">
        <v>1750871955.554839</v>
      </c>
      <c r="H21">
        <f>(I21)/1000</f>
        <v>0</v>
      </c>
      <c r="I21">
        <f>IF(BD21, AL21, AF21)</f>
        <v>0</v>
      </c>
      <c r="J21">
        <f>IF(BD21, AG21, AE21)</f>
        <v>0</v>
      </c>
      <c r="K21">
        <f>BF21 - IF(AS21&gt;1, J21*AZ21*100.0/(AU21), 0)</f>
        <v>0</v>
      </c>
      <c r="L21">
        <f>((R21-H21/2)*K21-J21)/(R21+H21/2)</f>
        <v>0</v>
      </c>
      <c r="M21">
        <f>L21*(BM21+BN21)/1000.0</f>
        <v>0</v>
      </c>
      <c r="N21">
        <f>(BF21 - IF(AS21&gt;1, J21*AZ21*100.0/(AU21), 0))*(BM21+BN21)/1000.0</f>
        <v>0</v>
      </c>
      <c r="O21">
        <f>2.0/((1/Q21-1/P21)+SIGN(Q21)*SQRT((1/Q21-1/P21)*(1/Q21-1/P21) + 4*BA21/((BA21+1)*(BA21+1))*(2*1/Q21*1/P21-1/P21*1/P21)))</f>
        <v>0</v>
      </c>
      <c r="P21">
        <f>IF(LEFT(BB21,1)&lt;&gt;"0",IF(LEFT(BB21,1)="1",3.0,BC21),$D$5+$E$5*(BT21*BM21/($K$5*1000))+$F$5*(BT21*BM21/($K$5*1000))*MAX(MIN(AZ21,$J$5),$I$5)*MAX(MIN(AZ21,$J$5),$I$5)+$G$5*MAX(MIN(AZ21,$J$5),$I$5)*(BT21*BM21/($K$5*1000))+$H$5*(BT21*BM21/($K$5*1000))*(BT21*BM21/($K$5*1000)))</f>
        <v>0</v>
      </c>
      <c r="Q21">
        <f>H21*(1000-(1000*0.61365*exp(17.502*U21/(240.97+U21))/(BM21+BN21)+BH21)/2)/(1000*0.61365*exp(17.502*U21/(240.97+U21))/(BM21+BN21)-BH21)</f>
        <v>0</v>
      </c>
      <c r="R21">
        <f>1/((BA21+1)/(O21/1.6)+1/(P21/1.37)) + BA21/((BA21+1)/(O21/1.6) + BA21/(P21/1.37))</f>
        <v>0</v>
      </c>
      <c r="S21">
        <f>(AV21*AY21)</f>
        <v>0</v>
      </c>
      <c r="T21">
        <f>(BO21+(S21+2*0.95*5.67E-8*(((BO21+$B$7)+273)^4-(BO21+273)^4)-44100*H21)/(1.84*29.3*P21+8*0.95*5.67E-8*(BO21+273)^3))</f>
        <v>0</v>
      </c>
      <c r="U21">
        <f>($C$7*BP21+$D$7*BQ21+$E$7*T21)</f>
        <v>0</v>
      </c>
      <c r="V21">
        <f>0.61365*exp(17.502*U21/(240.97+U21))</f>
        <v>0</v>
      </c>
      <c r="W21">
        <f>(X21/Y21*100)</f>
        <v>0</v>
      </c>
      <c r="X21">
        <f>BH21*(BM21+BN21)/1000</f>
        <v>0</v>
      </c>
      <c r="Y21">
        <f>0.61365*exp(17.502*BO21/(240.97+BO21))</f>
        <v>0</v>
      </c>
      <c r="Z21">
        <f>(V21-BH21*(BM21+BN21)/1000)</f>
        <v>0</v>
      </c>
      <c r="AA21">
        <f>(-H21*44100)</f>
        <v>0</v>
      </c>
      <c r="AB21">
        <f>2*29.3*P21*0.92*(BO21-U21)</f>
        <v>0</v>
      </c>
      <c r="AC21">
        <f>2*0.95*5.67E-8*(((BO21+$B$7)+273)^4-(U21+273)^4)</f>
        <v>0</v>
      </c>
      <c r="AD21">
        <f>S21+AC21+AA21+AB21</f>
        <v>0</v>
      </c>
      <c r="AE21">
        <f>BL21*AS21*(BG21-BF21*(1000-AS21*BI21)/(1000-AS21*BH21))/(100*AZ21)</f>
        <v>0</v>
      </c>
      <c r="AF21">
        <f>1000*BL21*AS21*(BH21-BI21)/(100*AZ21*(1000-AS21*BH21))</f>
        <v>0</v>
      </c>
      <c r="AG21">
        <f>(AH21 - AI21 - BM21*1E3/(8.314*(BO21+273.15)) * AK21/BL21 * AJ21) * BL21/(100*AZ21) * (1000 - BI21)/1000</f>
        <v>0</v>
      </c>
      <c r="AH21">
        <v>414.352928028588</v>
      </c>
      <c r="AI21">
        <v>411.7426727272725</v>
      </c>
      <c r="AJ21">
        <v>0.02241564149517854</v>
      </c>
      <c r="AK21">
        <v>66.94722797850073</v>
      </c>
      <c r="AL21">
        <f>(AN21 - AM21 + BM21*1E3/(8.314*(BO21+273.15)) * AP21/BL21 * AO21) * BL21/(100*AZ21) * 1000/(1000 - AN21)</f>
        <v>0</v>
      </c>
      <c r="AM21">
        <v>22.85228028572466</v>
      </c>
      <c r="AN21">
        <v>23.40111878787878</v>
      </c>
      <c r="AO21">
        <v>0.0002206222917501217</v>
      </c>
      <c r="AP21">
        <v>79.47244369374488</v>
      </c>
      <c r="AQ21">
        <v>6</v>
      </c>
      <c r="AR21">
        <v>1</v>
      </c>
      <c r="AS21">
        <f>IF(AQ21*$H$13&gt;=AU21,1.0,(AU21/(AU21-AQ21*$H$13)))</f>
        <v>0</v>
      </c>
      <c r="AT21">
        <f>(AS21-1)*100</f>
        <v>0</v>
      </c>
      <c r="AU21">
        <f>MAX(0,($B$13+$C$13*BT21)/(1+$D$13*BT21)*BM21/(BO21+273)*$E$13)</f>
        <v>0</v>
      </c>
      <c r="AV21">
        <f>$B$11*BU21+$C$11*BV21+$F$11*CG21*(1-CJ21)</f>
        <v>0</v>
      </c>
      <c r="AW21">
        <f>AV21*AX21</f>
        <v>0</v>
      </c>
      <c r="AX21">
        <f>($B$11*$D$9+$C$11*$D$9+$F$11*((CT21+CL21)/MAX(CT21+CL21+CU21, 0.1)*$I$9+CU21/MAX(CT21+CL21+CU21, 0.1)*$J$9))/($B$11+$C$11+$F$11)</f>
        <v>0</v>
      </c>
      <c r="AY21">
        <f>($B$11*$K$9+$C$11*$K$9+$F$11*((CT21+CL21)/MAX(CT21+CL21+CU21, 0.1)*$P$9+CU21/MAX(CT21+CL21+CU21, 0.1)*$Q$9))/($B$11+$C$11+$F$11)</f>
        <v>0</v>
      </c>
      <c r="AZ21">
        <v>6</v>
      </c>
      <c r="BA21">
        <v>0.5</v>
      </c>
      <c r="BB21" t="s">
        <v>353</v>
      </c>
      <c r="BC21">
        <v>2</v>
      </c>
      <c r="BD21" t="b">
        <v>0</v>
      </c>
      <c r="BE21">
        <v>1750871955.554839</v>
      </c>
      <c r="BF21">
        <v>401.9827741935483</v>
      </c>
      <c r="BG21">
        <v>404.8655483870969</v>
      </c>
      <c r="BH21">
        <v>23.34873870967742</v>
      </c>
      <c r="BI21">
        <v>22.84101935483871</v>
      </c>
      <c r="BJ21">
        <v>399.8387741935483</v>
      </c>
      <c r="BK21">
        <v>23.02373870967742</v>
      </c>
      <c r="BL21">
        <v>800.0080645161289</v>
      </c>
      <c r="BM21">
        <v>100.7924516129032</v>
      </c>
      <c r="BN21">
        <v>0.1001073516129032</v>
      </c>
      <c r="BO21">
        <v>30.21289032258064</v>
      </c>
      <c r="BP21">
        <v>30.41758064516129</v>
      </c>
      <c r="BQ21">
        <v>999.9000000000003</v>
      </c>
      <c r="BR21">
        <v>0</v>
      </c>
      <c r="BS21">
        <v>0</v>
      </c>
      <c r="BT21">
        <v>9999.252903225808</v>
      </c>
      <c r="BU21">
        <v>0</v>
      </c>
      <c r="BV21">
        <v>0.00154836</v>
      </c>
      <c r="BW21">
        <v>-2.80971129032258</v>
      </c>
      <c r="BX21">
        <v>411.6803870967742</v>
      </c>
      <c r="BY21">
        <v>414.3291612903226</v>
      </c>
      <c r="BZ21">
        <v>0.5379027096774193</v>
      </c>
      <c r="CA21">
        <v>404.8655483870969</v>
      </c>
      <c r="CB21">
        <v>22.84101935483871</v>
      </c>
      <c r="CC21">
        <v>2.356418709677419</v>
      </c>
      <c r="CD21">
        <v>2.302200967741936</v>
      </c>
      <c r="CE21">
        <v>20.06735161290323</v>
      </c>
      <c r="CF21">
        <v>19.69180967741935</v>
      </c>
      <c r="CG21">
        <v>1000.018258064516</v>
      </c>
      <c r="CH21">
        <v>0.9599949354838706</v>
      </c>
      <c r="CI21">
        <v>0.04000527419354838</v>
      </c>
      <c r="CJ21">
        <v>0</v>
      </c>
      <c r="CK21">
        <v>2.217096774193549</v>
      </c>
      <c r="CL21">
        <v>0</v>
      </c>
      <c r="CM21">
        <v>6692.885806451612</v>
      </c>
      <c r="CN21">
        <v>7947.039354838709</v>
      </c>
      <c r="CO21">
        <v>36.375</v>
      </c>
      <c r="CP21">
        <v>39.375</v>
      </c>
      <c r="CQ21">
        <v>37.5</v>
      </c>
      <c r="CR21">
        <v>38.875</v>
      </c>
      <c r="CS21">
        <v>37.06199999999998</v>
      </c>
      <c r="CT21">
        <v>960.0112903225806</v>
      </c>
      <c r="CU21">
        <v>40.00806451612903</v>
      </c>
      <c r="CV21">
        <v>0</v>
      </c>
      <c r="CW21">
        <v>1750871980.6</v>
      </c>
      <c r="CX21">
        <v>0</v>
      </c>
      <c r="CY21">
        <v>1750871981.5</v>
      </c>
      <c r="CZ21" t="s">
        <v>371</v>
      </c>
      <c r="DA21">
        <v>1750871980.5</v>
      </c>
      <c r="DB21">
        <v>1750871981.5</v>
      </c>
      <c r="DC21">
        <v>5</v>
      </c>
      <c r="DD21">
        <v>-0.07199999999999999</v>
      </c>
      <c r="DE21">
        <v>-0.008999999999999999</v>
      </c>
      <c r="DF21">
        <v>2.144</v>
      </c>
      <c r="DG21">
        <v>0.325</v>
      </c>
      <c r="DH21">
        <v>405</v>
      </c>
      <c r="DI21">
        <v>23</v>
      </c>
      <c r="DJ21">
        <v>0.27</v>
      </c>
      <c r="DK21">
        <v>0.15</v>
      </c>
      <c r="DL21">
        <v>-2.812608780487805</v>
      </c>
      <c r="DM21">
        <v>0.02239101560343656</v>
      </c>
      <c r="DN21">
        <v>0.02332982840988636</v>
      </c>
      <c r="DO21">
        <v>1</v>
      </c>
      <c r="DP21">
        <v>0.5347544390243902</v>
      </c>
      <c r="DQ21">
        <v>0.06875836242740532</v>
      </c>
      <c r="DR21">
        <v>0.00683024856901816</v>
      </c>
      <c r="DS21">
        <v>1</v>
      </c>
      <c r="DT21">
        <v>2</v>
      </c>
      <c r="DU21">
        <v>2</v>
      </c>
      <c r="DV21" t="s">
        <v>372</v>
      </c>
      <c r="DW21">
        <v>3.45294</v>
      </c>
      <c r="DX21">
        <v>2.78093</v>
      </c>
      <c r="DY21">
        <v>0.095184</v>
      </c>
      <c r="DZ21">
        <v>0.0960405</v>
      </c>
      <c r="EA21">
        <v>0.114747</v>
      </c>
      <c r="EB21">
        <v>0.112623</v>
      </c>
      <c r="EC21">
        <v>27053.2</v>
      </c>
      <c r="ED21">
        <v>30822.2</v>
      </c>
      <c r="EE21">
        <v>29057.1</v>
      </c>
      <c r="EF21">
        <v>34702.7</v>
      </c>
      <c r="EG21">
        <v>29721.8</v>
      </c>
      <c r="EH21">
        <v>38220.9</v>
      </c>
      <c r="EI21">
        <v>35733.1</v>
      </c>
      <c r="EJ21">
        <v>45919.4</v>
      </c>
      <c r="EK21">
        <v>2.44942</v>
      </c>
      <c r="EL21">
        <v>2.15535</v>
      </c>
      <c r="EM21">
        <v>0.0665076</v>
      </c>
      <c r="EN21">
        <v>0</v>
      </c>
      <c r="EO21">
        <v>29.3647</v>
      </c>
      <c r="EP21">
        <v>999.9</v>
      </c>
      <c r="EQ21">
        <v>74.2</v>
      </c>
      <c r="ER21">
        <v>26.4</v>
      </c>
      <c r="ES21">
        <v>25.4346</v>
      </c>
      <c r="ET21">
        <v>61.93</v>
      </c>
      <c r="EU21">
        <v>24.2628</v>
      </c>
      <c r="EV21">
        <v>2</v>
      </c>
      <c r="EW21">
        <v>0.103783</v>
      </c>
      <c r="EX21">
        <v>0</v>
      </c>
      <c r="EY21">
        <v>20.2902</v>
      </c>
      <c r="EZ21">
        <v>5.2098</v>
      </c>
      <c r="FA21">
        <v>11.974</v>
      </c>
      <c r="FB21">
        <v>4.98985</v>
      </c>
      <c r="FC21">
        <v>3.272</v>
      </c>
      <c r="FD21">
        <v>2968.3</v>
      </c>
      <c r="FE21">
        <v>9999</v>
      </c>
      <c r="FF21">
        <v>9999</v>
      </c>
      <c r="FG21">
        <v>999.9</v>
      </c>
      <c r="FH21">
        <v>4.97266</v>
      </c>
      <c r="FI21">
        <v>1.86281</v>
      </c>
      <c r="FJ21">
        <v>1.86466</v>
      </c>
      <c r="FK21">
        <v>1.86311</v>
      </c>
      <c r="FL21">
        <v>1.8631</v>
      </c>
      <c r="FM21">
        <v>1.86371</v>
      </c>
      <c r="FN21">
        <v>1.86013</v>
      </c>
      <c r="FO21">
        <v>1.86295</v>
      </c>
      <c r="FP21">
        <v>0</v>
      </c>
      <c r="FQ21">
        <v>0</v>
      </c>
      <c r="FR21">
        <v>0</v>
      </c>
      <c r="FS21">
        <v>0</v>
      </c>
      <c r="FT21" t="s">
        <v>356</v>
      </c>
      <c r="FU21" t="s">
        <v>357</v>
      </c>
      <c r="FV21" t="s">
        <v>358</v>
      </c>
      <c r="FW21" t="s">
        <v>358</v>
      </c>
      <c r="FX21" t="s">
        <v>358</v>
      </c>
      <c r="FY21" t="s">
        <v>358</v>
      </c>
      <c r="FZ21">
        <v>0</v>
      </c>
      <c r="GA21">
        <v>100</v>
      </c>
      <c r="GB21">
        <v>100</v>
      </c>
      <c r="GC21">
        <v>2.144</v>
      </c>
      <c r="GD21">
        <v>0.325</v>
      </c>
      <c r="GE21">
        <v>2.498917282753107</v>
      </c>
      <c r="GF21">
        <v>-0.001033730503750798</v>
      </c>
      <c r="GG21">
        <v>9.120241388950126E-07</v>
      </c>
      <c r="GH21">
        <v>-2.246115299815222E-10</v>
      </c>
      <c r="GI21">
        <v>-0.1029592087894645</v>
      </c>
      <c r="GJ21">
        <v>-0.01814858093373864</v>
      </c>
      <c r="GK21">
        <v>0.002091959988359369</v>
      </c>
      <c r="GL21">
        <v>-1.90871700788604E-05</v>
      </c>
      <c r="GM21">
        <v>2</v>
      </c>
      <c r="GN21">
        <v>2210</v>
      </c>
      <c r="GO21">
        <v>1</v>
      </c>
      <c r="GP21">
        <v>26</v>
      </c>
      <c r="GQ21">
        <v>1.8</v>
      </c>
      <c r="GR21">
        <v>1.7</v>
      </c>
      <c r="GS21">
        <v>1.2561</v>
      </c>
      <c r="GT21">
        <v>2.37915</v>
      </c>
      <c r="GU21">
        <v>2.34741</v>
      </c>
      <c r="GV21">
        <v>2.76489</v>
      </c>
      <c r="GW21">
        <v>2.39868</v>
      </c>
      <c r="GX21">
        <v>2.24487</v>
      </c>
      <c r="GY21">
        <v>32.8424</v>
      </c>
      <c r="GZ21">
        <v>13.7906</v>
      </c>
      <c r="HA21">
        <v>18</v>
      </c>
      <c r="HB21">
        <v>824.711</v>
      </c>
      <c r="HC21">
        <v>639.085</v>
      </c>
      <c r="HD21">
        <v>29.4836</v>
      </c>
      <c r="HE21">
        <v>29.0279</v>
      </c>
      <c r="HF21">
        <v>30.0005</v>
      </c>
      <c r="HG21">
        <v>28.7525</v>
      </c>
      <c r="HH21">
        <v>28.6891</v>
      </c>
      <c r="HI21">
        <v>25.1849</v>
      </c>
      <c r="HJ21">
        <v>18.4914</v>
      </c>
      <c r="HK21">
        <v>94.4569</v>
      </c>
      <c r="HL21">
        <v>-999.9</v>
      </c>
      <c r="HM21">
        <v>405</v>
      </c>
      <c r="HN21">
        <v>22.8778</v>
      </c>
      <c r="HO21">
        <v>99.7101</v>
      </c>
      <c r="HP21">
        <v>100.281</v>
      </c>
    </row>
    <row r="22" spans="1:224">
      <c r="A22">
        <v>6</v>
      </c>
      <c r="B22">
        <v>1750872073</v>
      </c>
      <c r="C22">
        <v>647.4000000953674</v>
      </c>
      <c r="D22" t="s">
        <v>373</v>
      </c>
      <c r="E22" t="s">
        <v>374</v>
      </c>
      <c r="F22">
        <v>15</v>
      </c>
      <c r="G22">
        <v>1750872065.25</v>
      </c>
      <c r="H22">
        <f>(I22)/1000</f>
        <v>0</v>
      </c>
      <c r="I22">
        <f>IF(BD22, AL22, AF22)</f>
        <v>0</v>
      </c>
      <c r="J22">
        <f>IF(BD22, AG22, AE22)</f>
        <v>0</v>
      </c>
      <c r="K22">
        <f>BF22 - IF(AS22&gt;1, J22*AZ22*100.0/(AU22), 0)</f>
        <v>0</v>
      </c>
      <c r="L22">
        <f>((R22-H22/2)*K22-J22)/(R22+H22/2)</f>
        <v>0</v>
      </c>
      <c r="M22">
        <f>L22*(BM22+BN22)/1000.0</f>
        <v>0</v>
      </c>
      <c r="N22">
        <f>(BF22 - IF(AS22&gt;1, J22*AZ22*100.0/(AU22), 0))*(BM22+BN22)/1000.0</f>
        <v>0</v>
      </c>
      <c r="O22">
        <f>2.0/((1/Q22-1/P22)+SIGN(Q22)*SQRT((1/Q22-1/P22)*(1/Q22-1/P22) + 4*BA22/((BA22+1)*(BA22+1))*(2*1/Q22*1/P22-1/P22*1/P22)))</f>
        <v>0</v>
      </c>
      <c r="P22">
        <f>IF(LEFT(BB22,1)&lt;&gt;"0",IF(LEFT(BB22,1)="1",3.0,BC22),$D$5+$E$5*(BT22*BM22/($K$5*1000))+$F$5*(BT22*BM22/($K$5*1000))*MAX(MIN(AZ22,$J$5),$I$5)*MAX(MIN(AZ22,$J$5),$I$5)+$G$5*MAX(MIN(AZ22,$J$5),$I$5)*(BT22*BM22/($K$5*1000))+$H$5*(BT22*BM22/($K$5*1000))*(BT22*BM22/($K$5*1000)))</f>
        <v>0</v>
      </c>
      <c r="Q22">
        <f>H22*(1000-(1000*0.61365*exp(17.502*U22/(240.97+U22))/(BM22+BN22)+BH22)/2)/(1000*0.61365*exp(17.502*U22/(240.97+U22))/(BM22+BN22)-BH22)</f>
        <v>0</v>
      </c>
      <c r="R22">
        <f>1/((BA22+1)/(O22/1.6)+1/(P22/1.37)) + BA22/((BA22+1)/(O22/1.6) + BA22/(P22/1.37))</f>
        <v>0</v>
      </c>
      <c r="S22">
        <f>(AV22*AY22)</f>
        <v>0</v>
      </c>
      <c r="T22">
        <f>(BO22+(S22+2*0.95*5.67E-8*(((BO22+$B$7)+273)^4-(BO22+273)^4)-44100*H22)/(1.84*29.3*P22+8*0.95*5.67E-8*(BO22+273)^3))</f>
        <v>0</v>
      </c>
      <c r="U22">
        <f>($C$7*BP22+$D$7*BQ22+$E$7*T22)</f>
        <v>0</v>
      </c>
      <c r="V22">
        <f>0.61365*exp(17.502*U22/(240.97+U22))</f>
        <v>0</v>
      </c>
      <c r="W22">
        <f>(X22/Y22*100)</f>
        <v>0</v>
      </c>
      <c r="X22">
        <f>BH22*(BM22+BN22)/1000</f>
        <v>0</v>
      </c>
      <c r="Y22">
        <f>0.61365*exp(17.502*BO22/(240.97+BO22))</f>
        <v>0</v>
      </c>
      <c r="Z22">
        <f>(V22-BH22*(BM22+BN22)/1000)</f>
        <v>0</v>
      </c>
      <c r="AA22">
        <f>(-H22*44100)</f>
        <v>0</v>
      </c>
      <c r="AB22">
        <f>2*29.3*P22*0.92*(BO22-U22)</f>
        <v>0</v>
      </c>
      <c r="AC22">
        <f>2*0.95*5.67E-8*(((BO22+$B$7)+273)^4-(U22+273)^4)</f>
        <v>0</v>
      </c>
      <c r="AD22">
        <f>S22+AC22+AA22+AB22</f>
        <v>0</v>
      </c>
      <c r="AE22">
        <f>BL22*AS22*(BG22-BF22*(1000-AS22*BI22)/(1000-AS22*BH22))/(100*AZ22)</f>
        <v>0</v>
      </c>
      <c r="AF22">
        <f>1000*BL22*AS22*(BH22-BI22)/(100*AZ22*(1000-AS22*BH22))</f>
        <v>0</v>
      </c>
      <c r="AG22">
        <f>(AH22 - AI22 - BM22*1E3/(8.314*(BO22+273.15)) * AK22/BL22 * AJ22) * BL22/(100*AZ22) * (1000 - BI22)/1000</f>
        <v>0</v>
      </c>
      <c r="AH22">
        <v>413.8152776748162</v>
      </c>
      <c r="AI22">
        <v>410.9810363636365</v>
      </c>
      <c r="AJ22">
        <v>0.003564518952720186</v>
      </c>
      <c r="AK22">
        <v>66.945697054997</v>
      </c>
      <c r="AL22">
        <f>(AN22 - AM22 + BM22*1E3/(8.314*(BO22+273.15)) * AP22/BL22 * AO22) * BL22/(100*AZ22) * 1000/(1000 - AN22)</f>
        <v>0</v>
      </c>
      <c r="AM22">
        <v>21.68675554034172</v>
      </c>
      <c r="AN22">
        <v>23.65314121212121</v>
      </c>
      <c r="AO22">
        <v>0.0001483310190591807</v>
      </c>
      <c r="AP22">
        <v>79.52869695732706</v>
      </c>
      <c r="AQ22">
        <v>37</v>
      </c>
      <c r="AR22">
        <v>5</v>
      </c>
      <c r="AS22">
        <f>IF(AQ22*$H$13&gt;=AU22,1.0,(AU22/(AU22-AQ22*$H$13)))</f>
        <v>0</v>
      </c>
      <c r="AT22">
        <f>(AS22-1)*100</f>
        <v>0</v>
      </c>
      <c r="AU22">
        <f>MAX(0,($B$13+$C$13*BT22)/(1+$D$13*BT22)*BM22/(BO22+273)*$E$13)</f>
        <v>0</v>
      </c>
      <c r="AV22">
        <f>$B$11*BU22+$C$11*BV22+$F$11*CG22*(1-CJ22)</f>
        <v>0</v>
      </c>
      <c r="AW22">
        <f>AV22*AX22</f>
        <v>0</v>
      </c>
      <c r="AX22">
        <f>($B$11*$D$9+$C$11*$D$9+$F$11*((CT22+CL22)/MAX(CT22+CL22+CU22, 0.1)*$I$9+CU22/MAX(CT22+CL22+CU22, 0.1)*$J$9))/($B$11+$C$11+$F$11)</f>
        <v>0</v>
      </c>
      <c r="AY22">
        <f>($B$11*$K$9+$C$11*$K$9+$F$11*((CT22+CL22)/MAX(CT22+CL22+CU22, 0.1)*$P$9+CU22/MAX(CT22+CL22+CU22, 0.1)*$Q$9))/($B$11+$C$11+$F$11)</f>
        <v>0</v>
      </c>
      <c r="AZ22">
        <v>6</v>
      </c>
      <c r="BA22">
        <v>0.5</v>
      </c>
      <c r="BB22" t="s">
        <v>353</v>
      </c>
      <c r="BC22">
        <v>2</v>
      </c>
      <c r="BD22" t="b">
        <v>0</v>
      </c>
      <c r="BE22">
        <v>1750872065.25</v>
      </c>
      <c r="BF22">
        <v>401.2384999999999</v>
      </c>
      <c r="BG22">
        <v>404.8352666666667</v>
      </c>
      <c r="BH22">
        <v>23.64965666666667</v>
      </c>
      <c r="BI22">
        <v>21.68376333333333</v>
      </c>
      <c r="BJ22">
        <v>399.1094999999999</v>
      </c>
      <c r="BK22">
        <v>23.29025</v>
      </c>
      <c r="BL22">
        <v>800.0217</v>
      </c>
      <c r="BM22">
        <v>100.7902666666667</v>
      </c>
      <c r="BN22">
        <v>0.09987546999999999</v>
      </c>
      <c r="BO22">
        <v>30.38978333333334</v>
      </c>
      <c r="BP22">
        <v>30.46503666666667</v>
      </c>
      <c r="BQ22">
        <v>999.9000000000002</v>
      </c>
      <c r="BR22">
        <v>0</v>
      </c>
      <c r="BS22">
        <v>0</v>
      </c>
      <c r="BT22">
        <v>10002.68466666667</v>
      </c>
      <c r="BU22">
        <v>0</v>
      </c>
      <c r="BV22">
        <v>0.001536266</v>
      </c>
      <c r="BW22">
        <v>-3.579865666666666</v>
      </c>
      <c r="BX22">
        <v>410.9746999999999</v>
      </c>
      <c r="BY22">
        <v>413.8080666666667</v>
      </c>
      <c r="BZ22">
        <v>1.965888666666667</v>
      </c>
      <c r="CA22">
        <v>404.8352666666667</v>
      </c>
      <c r="CB22">
        <v>21.68376333333333</v>
      </c>
      <c r="CC22">
        <v>2.383653333333334</v>
      </c>
      <c r="CD22">
        <v>2.185512666666666</v>
      </c>
      <c r="CE22">
        <v>20.25315999999999</v>
      </c>
      <c r="CF22">
        <v>18.85650333333333</v>
      </c>
      <c r="CG22">
        <v>999.9953666666665</v>
      </c>
      <c r="CH22">
        <v>0.9600101000000002</v>
      </c>
      <c r="CI22">
        <v>0.03998994333333333</v>
      </c>
      <c r="CJ22">
        <v>0</v>
      </c>
      <c r="CK22">
        <v>1.543833333333333</v>
      </c>
      <c r="CL22">
        <v>0</v>
      </c>
      <c r="CM22">
        <v>6919.888333333334</v>
      </c>
      <c r="CN22">
        <v>7946.915333333334</v>
      </c>
      <c r="CO22">
        <v>36.29753333333333</v>
      </c>
      <c r="CP22">
        <v>39.25</v>
      </c>
      <c r="CQ22">
        <v>37.43699999999999</v>
      </c>
      <c r="CR22">
        <v>38.77686666666667</v>
      </c>
      <c r="CS22">
        <v>37.05786666666666</v>
      </c>
      <c r="CT22">
        <v>960.0059999999999</v>
      </c>
      <c r="CU22">
        <v>39.989</v>
      </c>
      <c r="CV22">
        <v>0</v>
      </c>
      <c r="CW22">
        <v>1750872089.8</v>
      </c>
      <c r="CX22">
        <v>0</v>
      </c>
      <c r="CY22">
        <v>1750872090</v>
      </c>
      <c r="CZ22" t="s">
        <v>375</v>
      </c>
      <c r="DA22">
        <v>1750872090</v>
      </c>
      <c r="DB22">
        <v>1750871981.5</v>
      </c>
      <c r="DC22">
        <v>6</v>
      </c>
      <c r="DD22">
        <v>-0.016</v>
      </c>
      <c r="DE22">
        <v>-0.008999999999999999</v>
      </c>
      <c r="DF22">
        <v>2.129</v>
      </c>
      <c r="DG22">
        <v>0.325</v>
      </c>
      <c r="DH22">
        <v>405</v>
      </c>
      <c r="DI22">
        <v>23</v>
      </c>
      <c r="DJ22">
        <v>0.48</v>
      </c>
      <c r="DK22">
        <v>0.15</v>
      </c>
      <c r="DL22">
        <v>-3.543389</v>
      </c>
      <c r="DM22">
        <v>-0.7506049530956709</v>
      </c>
      <c r="DN22">
        <v>0.08260336932595426</v>
      </c>
      <c r="DO22">
        <v>0</v>
      </c>
      <c r="DP22">
        <v>1.97479375</v>
      </c>
      <c r="DQ22">
        <v>-0.1460148968105089</v>
      </c>
      <c r="DR22">
        <v>0.01730140726754618</v>
      </c>
      <c r="DS22">
        <v>0</v>
      </c>
      <c r="DT22">
        <v>0</v>
      </c>
      <c r="DU22">
        <v>2</v>
      </c>
      <c r="DV22" t="s">
        <v>355</v>
      </c>
      <c r="DW22">
        <v>3.45235</v>
      </c>
      <c r="DX22">
        <v>2.7805</v>
      </c>
      <c r="DY22">
        <v>0.09500980000000001</v>
      </c>
      <c r="DZ22">
        <v>0.09599870000000001</v>
      </c>
      <c r="EA22">
        <v>0.115573</v>
      </c>
      <c r="EB22">
        <v>0.10854</v>
      </c>
      <c r="EC22">
        <v>27057.7</v>
      </c>
      <c r="ED22">
        <v>30822.7</v>
      </c>
      <c r="EE22">
        <v>29056.7</v>
      </c>
      <c r="EF22">
        <v>34702.3</v>
      </c>
      <c r="EG22">
        <v>29694.8</v>
      </c>
      <c r="EH22">
        <v>38397.1</v>
      </c>
      <c r="EI22">
        <v>35733.9</v>
      </c>
      <c r="EJ22">
        <v>45919.4</v>
      </c>
      <c r="EK22">
        <v>2.4043</v>
      </c>
      <c r="EL22">
        <v>2.14935</v>
      </c>
      <c r="EM22">
        <v>0.0680462</v>
      </c>
      <c r="EN22">
        <v>0</v>
      </c>
      <c r="EO22">
        <v>29.3761</v>
      </c>
      <c r="EP22">
        <v>999.9</v>
      </c>
      <c r="EQ22">
        <v>73.7</v>
      </c>
      <c r="ER22">
        <v>26.7</v>
      </c>
      <c r="ES22">
        <v>25.7128</v>
      </c>
      <c r="ET22">
        <v>61.61</v>
      </c>
      <c r="EU22">
        <v>24.391</v>
      </c>
      <c r="EV22">
        <v>2</v>
      </c>
      <c r="EW22">
        <v>0.109258</v>
      </c>
      <c r="EX22">
        <v>0</v>
      </c>
      <c r="EY22">
        <v>20.2905</v>
      </c>
      <c r="EZ22">
        <v>5.20965</v>
      </c>
      <c r="FA22">
        <v>11.974</v>
      </c>
      <c r="FB22">
        <v>4.98975</v>
      </c>
      <c r="FC22">
        <v>3.272</v>
      </c>
      <c r="FD22">
        <v>2971.5</v>
      </c>
      <c r="FE22">
        <v>9999</v>
      </c>
      <c r="FF22">
        <v>9999</v>
      </c>
      <c r="FG22">
        <v>999.9</v>
      </c>
      <c r="FH22">
        <v>4.97265</v>
      </c>
      <c r="FI22">
        <v>1.86289</v>
      </c>
      <c r="FJ22">
        <v>1.86476</v>
      </c>
      <c r="FK22">
        <v>1.86315</v>
      </c>
      <c r="FL22">
        <v>1.86316</v>
      </c>
      <c r="FM22">
        <v>1.86371</v>
      </c>
      <c r="FN22">
        <v>1.8602</v>
      </c>
      <c r="FO22">
        <v>1.86295</v>
      </c>
      <c r="FP22">
        <v>0</v>
      </c>
      <c r="FQ22">
        <v>0</v>
      </c>
      <c r="FR22">
        <v>0</v>
      </c>
      <c r="FS22">
        <v>0</v>
      </c>
      <c r="FT22" t="s">
        <v>356</v>
      </c>
      <c r="FU22" t="s">
        <v>357</v>
      </c>
      <c r="FV22" t="s">
        <v>358</v>
      </c>
      <c r="FW22" t="s">
        <v>358</v>
      </c>
      <c r="FX22" t="s">
        <v>358</v>
      </c>
      <c r="FY22" t="s">
        <v>358</v>
      </c>
      <c r="FZ22">
        <v>0</v>
      </c>
      <c r="GA22">
        <v>100</v>
      </c>
      <c r="GB22">
        <v>100</v>
      </c>
      <c r="GC22">
        <v>2.129</v>
      </c>
      <c r="GD22">
        <v>0.3596</v>
      </c>
      <c r="GE22">
        <v>2.427326076169934</v>
      </c>
      <c r="GF22">
        <v>-0.001033730503750798</v>
      </c>
      <c r="GG22">
        <v>9.120241388950126E-07</v>
      </c>
      <c r="GH22">
        <v>-2.246115299815222E-10</v>
      </c>
      <c r="GI22">
        <v>-0.1115349128315053</v>
      </c>
      <c r="GJ22">
        <v>-0.01814858093373864</v>
      </c>
      <c r="GK22">
        <v>0.002091959988359369</v>
      </c>
      <c r="GL22">
        <v>-1.90871700788604E-05</v>
      </c>
      <c r="GM22">
        <v>2</v>
      </c>
      <c r="GN22">
        <v>2210</v>
      </c>
      <c r="GO22">
        <v>1</v>
      </c>
      <c r="GP22">
        <v>26</v>
      </c>
      <c r="GQ22">
        <v>1.5</v>
      </c>
      <c r="GR22">
        <v>1.5</v>
      </c>
      <c r="GS22">
        <v>1.25854</v>
      </c>
      <c r="GT22">
        <v>2.37305</v>
      </c>
      <c r="GU22">
        <v>2.34741</v>
      </c>
      <c r="GV22">
        <v>2.76245</v>
      </c>
      <c r="GW22">
        <v>2.39868</v>
      </c>
      <c r="GX22">
        <v>2.2644</v>
      </c>
      <c r="GY22">
        <v>33.1545</v>
      </c>
      <c r="GZ22">
        <v>13.7818</v>
      </c>
      <c r="HA22">
        <v>18</v>
      </c>
      <c r="HB22">
        <v>787.058</v>
      </c>
      <c r="HC22">
        <v>635.818</v>
      </c>
      <c r="HD22">
        <v>29.7919</v>
      </c>
      <c r="HE22">
        <v>29.1478</v>
      </c>
      <c r="HF22">
        <v>30</v>
      </c>
      <c r="HG22">
        <v>28.8973</v>
      </c>
      <c r="HH22">
        <v>28.8333</v>
      </c>
      <c r="HI22">
        <v>25.2385</v>
      </c>
      <c r="HJ22">
        <v>24.3633</v>
      </c>
      <c r="HK22">
        <v>97.3682</v>
      </c>
      <c r="HL22">
        <v>-999.9</v>
      </c>
      <c r="HM22">
        <v>405</v>
      </c>
      <c r="HN22">
        <v>21.7294</v>
      </c>
      <c r="HO22">
        <v>99.7107</v>
      </c>
      <c r="HP22">
        <v>100.281</v>
      </c>
    </row>
    <row r="23" spans="1:224">
      <c r="A23">
        <v>7</v>
      </c>
      <c r="B23">
        <v>1750872209</v>
      </c>
      <c r="C23">
        <v>783.4000000953674</v>
      </c>
      <c r="D23" t="s">
        <v>376</v>
      </c>
      <c r="E23" t="s">
        <v>377</v>
      </c>
      <c r="F23">
        <v>15</v>
      </c>
      <c r="G23">
        <v>1750872201</v>
      </c>
      <c r="H23">
        <f>(I23)/1000</f>
        <v>0</v>
      </c>
      <c r="I23">
        <f>IF(BD23, AL23, AF23)</f>
        <v>0</v>
      </c>
      <c r="J23">
        <f>IF(BD23, AG23, AE23)</f>
        <v>0</v>
      </c>
      <c r="K23">
        <f>BF23 - IF(AS23&gt;1, J23*AZ23*100.0/(AU23), 0)</f>
        <v>0</v>
      </c>
      <c r="L23">
        <f>((R23-H23/2)*K23-J23)/(R23+H23/2)</f>
        <v>0</v>
      </c>
      <c r="M23">
        <f>L23*(BM23+BN23)/1000.0</f>
        <v>0</v>
      </c>
      <c r="N23">
        <f>(BF23 - IF(AS23&gt;1, J23*AZ23*100.0/(AU23), 0))*(BM23+BN23)/1000.0</f>
        <v>0</v>
      </c>
      <c r="O23">
        <f>2.0/((1/Q23-1/P23)+SIGN(Q23)*SQRT((1/Q23-1/P23)*(1/Q23-1/P23) + 4*BA23/((BA23+1)*(BA23+1))*(2*1/Q23*1/P23-1/P23*1/P23)))</f>
        <v>0</v>
      </c>
      <c r="P23">
        <f>IF(LEFT(BB23,1)&lt;&gt;"0",IF(LEFT(BB23,1)="1",3.0,BC23),$D$5+$E$5*(BT23*BM23/($K$5*1000))+$F$5*(BT23*BM23/($K$5*1000))*MAX(MIN(AZ23,$J$5),$I$5)*MAX(MIN(AZ23,$J$5),$I$5)+$G$5*MAX(MIN(AZ23,$J$5),$I$5)*(BT23*BM23/($K$5*1000))+$H$5*(BT23*BM23/($K$5*1000))*(BT23*BM23/($K$5*1000)))</f>
        <v>0</v>
      </c>
      <c r="Q23">
        <f>H23*(1000-(1000*0.61365*exp(17.502*U23/(240.97+U23))/(BM23+BN23)+BH23)/2)/(1000*0.61365*exp(17.502*U23/(240.97+U23))/(BM23+BN23)-BH23)</f>
        <v>0</v>
      </c>
      <c r="R23">
        <f>1/((BA23+1)/(O23/1.6)+1/(P23/1.37)) + BA23/((BA23+1)/(O23/1.6) + BA23/(P23/1.37))</f>
        <v>0</v>
      </c>
      <c r="S23">
        <f>(AV23*AY23)</f>
        <v>0</v>
      </c>
      <c r="T23">
        <f>(BO23+(S23+2*0.95*5.67E-8*(((BO23+$B$7)+273)^4-(BO23+273)^4)-44100*H23)/(1.84*29.3*P23+8*0.95*5.67E-8*(BO23+273)^3))</f>
        <v>0</v>
      </c>
      <c r="U23">
        <f>($C$7*BP23+$D$7*BQ23+$E$7*T23)</f>
        <v>0</v>
      </c>
      <c r="V23">
        <f>0.61365*exp(17.502*U23/(240.97+U23))</f>
        <v>0</v>
      </c>
      <c r="W23">
        <f>(X23/Y23*100)</f>
        <v>0</v>
      </c>
      <c r="X23">
        <f>BH23*(BM23+BN23)/1000</f>
        <v>0</v>
      </c>
      <c r="Y23">
        <f>0.61365*exp(17.502*BO23/(240.97+BO23))</f>
        <v>0</v>
      </c>
      <c r="Z23">
        <f>(V23-BH23*(BM23+BN23)/1000)</f>
        <v>0</v>
      </c>
      <c r="AA23">
        <f>(-H23*44100)</f>
        <v>0</v>
      </c>
      <c r="AB23">
        <f>2*29.3*P23*0.92*(BO23-U23)</f>
        <v>0</v>
      </c>
      <c r="AC23">
        <f>2*0.95*5.67E-8*(((BO23+$B$7)+273)^4-(U23+273)^4)</f>
        <v>0</v>
      </c>
      <c r="AD23">
        <f>S23+AC23+AA23+AB23</f>
        <v>0</v>
      </c>
      <c r="AE23">
        <f>BL23*AS23*(BG23-BF23*(1000-AS23*BI23)/(1000-AS23*BH23))/(100*AZ23)</f>
        <v>0</v>
      </c>
      <c r="AF23">
        <f>1000*BL23*AS23*(BH23-BI23)/(100*AZ23*(1000-AS23*BH23))</f>
        <v>0</v>
      </c>
      <c r="AG23">
        <f>(AH23 - AI23 - BM23*1E3/(8.314*(BO23+273.15)) * AK23/BL23 * AJ23) * BL23/(100*AZ23) * (1000 - BI23)/1000</f>
        <v>0</v>
      </c>
      <c r="AH23">
        <v>414.952670668418</v>
      </c>
      <c r="AI23">
        <v>414.9624848484848</v>
      </c>
      <c r="AJ23">
        <v>3.995870060898212E-05</v>
      </c>
      <c r="AK23">
        <v>66.94593451880571</v>
      </c>
      <c r="AL23">
        <f>(AN23 - AM23 + BM23*1E3/(8.314*(BO23+273.15)) * AP23/BL23 * AO23) * BL23/(100*AZ23) * 1000/(1000 - AN23)</f>
        <v>0</v>
      </c>
      <c r="AM23">
        <v>24.0307415742792</v>
      </c>
      <c r="AN23">
        <v>24.20951090909091</v>
      </c>
      <c r="AO23">
        <v>0.0004439712299424398</v>
      </c>
      <c r="AP23">
        <v>79.50725726149332</v>
      </c>
      <c r="AQ23">
        <v>106</v>
      </c>
      <c r="AR23">
        <v>13</v>
      </c>
      <c r="AS23">
        <f>IF(AQ23*$H$13&gt;=AU23,1.0,(AU23/(AU23-AQ23*$H$13)))</f>
        <v>0</v>
      </c>
      <c r="AT23">
        <f>(AS23-1)*100</f>
        <v>0</v>
      </c>
      <c r="AU23">
        <f>MAX(0,($B$13+$C$13*BT23)/(1+$D$13*BT23)*BM23/(BO23+273)*$E$13)</f>
        <v>0</v>
      </c>
      <c r="AV23">
        <f>$B$11*BU23+$C$11*BV23+$F$11*CG23*(1-CJ23)</f>
        <v>0</v>
      </c>
      <c r="AW23">
        <f>AV23*AX23</f>
        <v>0</v>
      </c>
      <c r="AX23">
        <f>($B$11*$D$9+$C$11*$D$9+$F$11*((CT23+CL23)/MAX(CT23+CL23+CU23, 0.1)*$I$9+CU23/MAX(CT23+CL23+CU23, 0.1)*$J$9))/($B$11+$C$11+$F$11)</f>
        <v>0</v>
      </c>
      <c r="AY23">
        <f>($B$11*$K$9+$C$11*$K$9+$F$11*((CT23+CL23)/MAX(CT23+CL23+CU23, 0.1)*$P$9+CU23/MAX(CT23+CL23+CU23, 0.1)*$Q$9))/($B$11+$C$11+$F$11)</f>
        <v>0</v>
      </c>
      <c r="AZ23">
        <v>6</v>
      </c>
      <c r="BA23">
        <v>0.5</v>
      </c>
      <c r="BB23" t="s">
        <v>353</v>
      </c>
      <c r="BC23">
        <v>2</v>
      </c>
      <c r="BD23" t="b">
        <v>0</v>
      </c>
      <c r="BE23">
        <v>1750872201</v>
      </c>
      <c r="BF23">
        <v>404.8709032258064</v>
      </c>
      <c r="BG23">
        <v>404.9642258064517</v>
      </c>
      <c r="BH23">
        <v>24.17746129032258</v>
      </c>
      <c r="BI23">
        <v>24.01732903225806</v>
      </c>
      <c r="BJ23">
        <v>402.7919032258064</v>
      </c>
      <c r="BK23">
        <v>23.81246129032258</v>
      </c>
      <c r="BL23">
        <v>800.0224193548387</v>
      </c>
      <c r="BM23">
        <v>100.7918387096774</v>
      </c>
      <c r="BN23">
        <v>0.1002052483870968</v>
      </c>
      <c r="BO23">
        <v>30.81256774193549</v>
      </c>
      <c r="BP23">
        <v>30.77836774193549</v>
      </c>
      <c r="BQ23">
        <v>999.9000000000003</v>
      </c>
      <c r="BR23">
        <v>0</v>
      </c>
      <c r="BS23">
        <v>0</v>
      </c>
      <c r="BT23">
        <v>10005.64193548387</v>
      </c>
      <c r="BU23">
        <v>0</v>
      </c>
      <c r="BV23">
        <v>0.001532947096774193</v>
      </c>
      <c r="BW23">
        <v>-0.04388033548387096</v>
      </c>
      <c r="BX23">
        <v>414.9614193548387</v>
      </c>
      <c r="BY23">
        <v>414.9297741935484</v>
      </c>
      <c r="BZ23">
        <v>0.1799158387096774</v>
      </c>
      <c r="CA23">
        <v>404.9642258064517</v>
      </c>
      <c r="CB23">
        <v>24.01732903225806</v>
      </c>
      <c r="CC23">
        <v>2.438883870967742</v>
      </c>
      <c r="CD23">
        <v>2.420749677419355</v>
      </c>
      <c r="CE23">
        <v>20.62429354838709</v>
      </c>
      <c r="CF23">
        <v>20.50325161290322</v>
      </c>
      <c r="CG23">
        <v>999.997806451613</v>
      </c>
      <c r="CH23">
        <v>0.9600067419354839</v>
      </c>
      <c r="CI23">
        <v>0.03999290967741936</v>
      </c>
      <c r="CJ23">
        <v>0</v>
      </c>
      <c r="CK23">
        <v>0.5779032258064516</v>
      </c>
      <c r="CL23">
        <v>0</v>
      </c>
      <c r="CM23">
        <v>6366.74129032258</v>
      </c>
      <c r="CN23">
        <v>7946.917096774194</v>
      </c>
      <c r="CO23">
        <v>36.32012903225806</v>
      </c>
      <c r="CP23">
        <v>39.25</v>
      </c>
      <c r="CQ23">
        <v>37.40499999999999</v>
      </c>
      <c r="CR23">
        <v>38.74187096774194</v>
      </c>
      <c r="CS23">
        <v>37.06199999999998</v>
      </c>
      <c r="CT23">
        <v>960.0041935483871</v>
      </c>
      <c r="CU23">
        <v>39.99032258064516</v>
      </c>
      <c r="CV23">
        <v>0</v>
      </c>
      <c r="CW23">
        <v>1750872226</v>
      </c>
      <c r="CX23">
        <v>0</v>
      </c>
      <c r="CY23">
        <v>1750872225</v>
      </c>
      <c r="CZ23" t="s">
        <v>378</v>
      </c>
      <c r="DA23">
        <v>1750872221</v>
      </c>
      <c r="DB23">
        <v>1750872225</v>
      </c>
      <c r="DC23">
        <v>7</v>
      </c>
      <c r="DD23">
        <v>-0.049</v>
      </c>
      <c r="DE23">
        <v>-0.014</v>
      </c>
      <c r="DF23">
        <v>2.079</v>
      </c>
      <c r="DG23">
        <v>0.365</v>
      </c>
      <c r="DH23">
        <v>405</v>
      </c>
      <c r="DI23">
        <v>24</v>
      </c>
      <c r="DJ23">
        <v>0.38</v>
      </c>
      <c r="DK23">
        <v>0.17</v>
      </c>
      <c r="DL23">
        <v>-0.05193481749999999</v>
      </c>
      <c r="DM23">
        <v>0.1194123269043153</v>
      </c>
      <c r="DN23">
        <v>0.02768786447636751</v>
      </c>
      <c r="DO23">
        <v>0</v>
      </c>
      <c r="DP23">
        <v>0.1825355</v>
      </c>
      <c r="DQ23">
        <v>-0.0571748667917451</v>
      </c>
      <c r="DR23">
        <v>0.012895268579987</v>
      </c>
      <c r="DS23">
        <v>1</v>
      </c>
      <c r="DT23">
        <v>1</v>
      </c>
      <c r="DU23">
        <v>2</v>
      </c>
      <c r="DV23" t="s">
        <v>365</v>
      </c>
      <c r="DW23">
        <v>3.45361</v>
      </c>
      <c r="DX23">
        <v>2.78096</v>
      </c>
      <c r="DY23">
        <v>0.0956535</v>
      </c>
      <c r="DZ23">
        <v>0.09600640000000001</v>
      </c>
      <c r="EA23">
        <v>0.117385</v>
      </c>
      <c r="EB23">
        <v>0.116544</v>
      </c>
      <c r="EC23">
        <v>27035.4</v>
      </c>
      <c r="ED23">
        <v>30819.1</v>
      </c>
      <c r="EE23">
        <v>29053.7</v>
      </c>
      <c r="EF23">
        <v>34698.9</v>
      </c>
      <c r="EG23">
        <v>29631.6</v>
      </c>
      <c r="EH23">
        <v>38049.2</v>
      </c>
      <c r="EI23">
        <v>35731.2</v>
      </c>
      <c r="EJ23">
        <v>45915.5</v>
      </c>
      <c r="EK23">
        <v>2.29988</v>
      </c>
      <c r="EL23">
        <v>2.1486</v>
      </c>
      <c r="EM23">
        <v>0.0680089</v>
      </c>
      <c r="EN23">
        <v>0</v>
      </c>
      <c r="EO23">
        <v>29.7134</v>
      </c>
      <c r="EP23">
        <v>999.9</v>
      </c>
      <c r="EQ23">
        <v>73</v>
      </c>
      <c r="ER23">
        <v>27.1</v>
      </c>
      <c r="ES23">
        <v>26.0758</v>
      </c>
      <c r="ET23">
        <v>61.36</v>
      </c>
      <c r="EU23">
        <v>24.2869</v>
      </c>
      <c r="EV23">
        <v>2</v>
      </c>
      <c r="EW23">
        <v>0.116077</v>
      </c>
      <c r="EX23">
        <v>0</v>
      </c>
      <c r="EY23">
        <v>20.2901</v>
      </c>
      <c r="EZ23">
        <v>5.21085</v>
      </c>
      <c r="FA23">
        <v>11.974</v>
      </c>
      <c r="FB23">
        <v>4.99115</v>
      </c>
      <c r="FC23">
        <v>3.272</v>
      </c>
      <c r="FD23">
        <v>2975.7</v>
      </c>
      <c r="FE23">
        <v>9999</v>
      </c>
      <c r="FF23">
        <v>9999</v>
      </c>
      <c r="FG23">
        <v>999.9</v>
      </c>
      <c r="FH23">
        <v>4.97266</v>
      </c>
      <c r="FI23">
        <v>1.86295</v>
      </c>
      <c r="FJ23">
        <v>1.86478</v>
      </c>
      <c r="FK23">
        <v>1.86322</v>
      </c>
      <c r="FL23">
        <v>1.86323</v>
      </c>
      <c r="FM23">
        <v>1.86371</v>
      </c>
      <c r="FN23">
        <v>1.8602</v>
      </c>
      <c r="FO23">
        <v>1.86296</v>
      </c>
      <c r="FP23">
        <v>0</v>
      </c>
      <c r="FQ23">
        <v>0</v>
      </c>
      <c r="FR23">
        <v>0</v>
      </c>
      <c r="FS23">
        <v>0</v>
      </c>
      <c r="FT23" t="s">
        <v>356</v>
      </c>
      <c r="FU23" t="s">
        <v>357</v>
      </c>
      <c r="FV23" t="s">
        <v>358</v>
      </c>
      <c r="FW23" t="s">
        <v>358</v>
      </c>
      <c r="FX23" t="s">
        <v>358</v>
      </c>
      <c r="FY23" t="s">
        <v>358</v>
      </c>
      <c r="FZ23">
        <v>0</v>
      </c>
      <c r="GA23">
        <v>100</v>
      </c>
      <c r="GB23">
        <v>100</v>
      </c>
      <c r="GC23">
        <v>2.079</v>
      </c>
      <c r="GD23">
        <v>0.365</v>
      </c>
      <c r="GE23">
        <v>2.411589609017831</v>
      </c>
      <c r="GF23">
        <v>-0.001033730503750798</v>
      </c>
      <c r="GG23">
        <v>9.120241388950126E-07</v>
      </c>
      <c r="GH23">
        <v>-2.246115299815222E-10</v>
      </c>
      <c r="GI23">
        <v>-0.1115349128315053</v>
      </c>
      <c r="GJ23">
        <v>-0.01814858093373864</v>
      </c>
      <c r="GK23">
        <v>0.002091959988359369</v>
      </c>
      <c r="GL23">
        <v>-1.90871700788604E-05</v>
      </c>
      <c r="GM23">
        <v>2</v>
      </c>
      <c r="GN23">
        <v>2210</v>
      </c>
      <c r="GO23">
        <v>1</v>
      </c>
      <c r="GP23">
        <v>26</v>
      </c>
      <c r="GQ23">
        <v>2</v>
      </c>
      <c r="GR23">
        <v>3.8</v>
      </c>
      <c r="GS23">
        <v>1.26709</v>
      </c>
      <c r="GT23">
        <v>2.3877</v>
      </c>
      <c r="GU23">
        <v>2.34741</v>
      </c>
      <c r="GV23">
        <v>2.76001</v>
      </c>
      <c r="GW23">
        <v>2.39868</v>
      </c>
      <c r="GX23">
        <v>2.26562</v>
      </c>
      <c r="GY23">
        <v>33.513</v>
      </c>
      <c r="GZ23">
        <v>13.738</v>
      </c>
      <c r="HA23">
        <v>18</v>
      </c>
      <c r="HB23">
        <v>702.677</v>
      </c>
      <c r="HC23">
        <v>636.776</v>
      </c>
      <c r="HD23">
        <v>30.1202</v>
      </c>
      <c r="HE23">
        <v>29.2556</v>
      </c>
      <c r="HF23">
        <v>30.0005</v>
      </c>
      <c r="HG23">
        <v>29.0314</v>
      </c>
      <c r="HH23">
        <v>28.9759</v>
      </c>
      <c r="HI23">
        <v>25.4091</v>
      </c>
      <c r="HJ23">
        <v>16.1388</v>
      </c>
      <c r="HK23">
        <v>100</v>
      </c>
      <c r="HL23">
        <v>-999.9</v>
      </c>
      <c r="HM23">
        <v>405</v>
      </c>
      <c r="HN23">
        <v>24.0089</v>
      </c>
      <c r="HO23">
        <v>99.70189999999999</v>
      </c>
      <c r="HP23">
        <v>100.271</v>
      </c>
    </row>
    <row r="24" spans="1:224">
      <c r="A24">
        <v>8</v>
      </c>
      <c r="B24">
        <v>1750872346.5</v>
      </c>
      <c r="C24">
        <v>920.9000000953674</v>
      </c>
      <c r="D24" t="s">
        <v>379</v>
      </c>
      <c r="E24" t="s">
        <v>380</v>
      </c>
      <c r="F24">
        <v>15</v>
      </c>
      <c r="G24">
        <v>1750872338.75</v>
      </c>
      <c r="H24">
        <f>(I24)/1000</f>
        <v>0</v>
      </c>
      <c r="I24">
        <f>IF(BD24, AL24, AF24)</f>
        <v>0</v>
      </c>
      <c r="J24">
        <f>IF(BD24, AG24, AE24)</f>
        <v>0</v>
      </c>
      <c r="K24">
        <f>BF24 - IF(AS24&gt;1, J24*AZ24*100.0/(AU24), 0)</f>
        <v>0</v>
      </c>
      <c r="L24">
        <f>((R24-H24/2)*K24-J24)/(R24+H24/2)</f>
        <v>0</v>
      </c>
      <c r="M24">
        <f>L24*(BM24+BN24)/1000.0</f>
        <v>0</v>
      </c>
      <c r="N24">
        <f>(BF24 - IF(AS24&gt;1, J24*AZ24*100.0/(AU24), 0))*(BM24+BN24)/1000.0</f>
        <v>0</v>
      </c>
      <c r="O24">
        <f>2.0/((1/Q24-1/P24)+SIGN(Q24)*SQRT((1/Q24-1/P24)*(1/Q24-1/P24) + 4*BA24/((BA24+1)*(BA24+1))*(2*1/Q24*1/P24-1/P24*1/P24)))</f>
        <v>0</v>
      </c>
      <c r="P24">
        <f>IF(LEFT(BB24,1)&lt;&gt;"0",IF(LEFT(BB24,1)="1",3.0,BC24),$D$5+$E$5*(BT24*BM24/($K$5*1000))+$F$5*(BT24*BM24/($K$5*1000))*MAX(MIN(AZ24,$J$5),$I$5)*MAX(MIN(AZ24,$J$5),$I$5)+$G$5*MAX(MIN(AZ24,$J$5),$I$5)*(BT24*BM24/($K$5*1000))+$H$5*(BT24*BM24/($K$5*1000))*(BT24*BM24/($K$5*1000)))</f>
        <v>0</v>
      </c>
      <c r="Q24">
        <f>H24*(1000-(1000*0.61365*exp(17.502*U24/(240.97+U24))/(BM24+BN24)+BH24)/2)/(1000*0.61365*exp(17.502*U24/(240.97+U24))/(BM24+BN24)-BH24)</f>
        <v>0</v>
      </c>
      <c r="R24">
        <f>1/((BA24+1)/(O24/1.6)+1/(P24/1.37)) + BA24/((BA24+1)/(O24/1.6) + BA24/(P24/1.37))</f>
        <v>0</v>
      </c>
      <c r="S24">
        <f>(AV24*AY24)</f>
        <v>0</v>
      </c>
      <c r="T24">
        <f>(BO24+(S24+2*0.95*5.67E-8*(((BO24+$B$7)+273)^4-(BO24+273)^4)-44100*H24)/(1.84*29.3*P24+8*0.95*5.67E-8*(BO24+273)^3))</f>
        <v>0</v>
      </c>
      <c r="U24">
        <f>($C$7*BP24+$D$7*BQ24+$E$7*T24)</f>
        <v>0</v>
      </c>
      <c r="V24">
        <f>0.61365*exp(17.502*U24/(240.97+U24))</f>
        <v>0</v>
      </c>
      <c r="W24">
        <f>(X24/Y24*100)</f>
        <v>0</v>
      </c>
      <c r="X24">
        <f>BH24*(BM24+BN24)/1000</f>
        <v>0</v>
      </c>
      <c r="Y24">
        <f>0.61365*exp(17.502*BO24/(240.97+BO24))</f>
        <v>0</v>
      </c>
      <c r="Z24">
        <f>(V24-BH24*(BM24+BN24)/1000)</f>
        <v>0</v>
      </c>
      <c r="AA24">
        <f>(-H24*44100)</f>
        <v>0</v>
      </c>
      <c r="AB24">
        <f>2*29.3*P24*0.92*(BO24-U24)</f>
        <v>0</v>
      </c>
      <c r="AC24">
        <f>2*0.95*5.67E-8*(((BO24+$B$7)+273)^4-(U24+273)^4)</f>
        <v>0</v>
      </c>
      <c r="AD24">
        <f>S24+AC24+AA24+AB24</f>
        <v>0</v>
      </c>
      <c r="AE24">
        <f>BL24*AS24*(BG24-BF24*(1000-AS24*BI24)/(1000-AS24*BH24))/(100*AZ24)</f>
        <v>0</v>
      </c>
      <c r="AF24">
        <f>1000*BL24*AS24*(BH24-BI24)/(100*AZ24*(1000-AS24*BH24))</f>
        <v>0</v>
      </c>
      <c r="AG24">
        <f>(AH24 - AI24 - BM24*1E3/(8.314*(BO24+273.15)) * AK24/BL24 * AJ24) * BL24/(100*AZ24) * (1000 - BI24)/1000</f>
        <v>0</v>
      </c>
      <c r="AH24">
        <v>414.5140783638788</v>
      </c>
      <c r="AI24">
        <v>409.9006545454546</v>
      </c>
      <c r="AJ24">
        <v>-0.001862021582353838</v>
      </c>
      <c r="AK24">
        <v>66.94509543908583</v>
      </c>
      <c r="AL24">
        <f>(AN24 - AM24 + BM24*1E3/(8.314*(BO24+273.15)) * AP24/BL24 * AO24) * BL24/(100*AZ24) * 1000/(1000 - AN24)</f>
        <v>0</v>
      </c>
      <c r="AM24">
        <v>23.12640072900018</v>
      </c>
      <c r="AN24">
        <v>24.49445818181816</v>
      </c>
      <c r="AO24">
        <v>0.0003871437023617169</v>
      </c>
      <c r="AP24">
        <v>79.53917538079189</v>
      </c>
      <c r="AQ24">
        <v>200</v>
      </c>
      <c r="AR24">
        <v>25</v>
      </c>
      <c r="AS24">
        <f>IF(AQ24*$H$13&gt;=AU24,1.0,(AU24/(AU24-AQ24*$H$13)))</f>
        <v>0</v>
      </c>
      <c r="AT24">
        <f>(AS24-1)*100</f>
        <v>0</v>
      </c>
      <c r="AU24">
        <f>MAX(0,($B$13+$C$13*BT24)/(1+$D$13*BT24)*BM24/(BO24+273)*$E$13)</f>
        <v>0</v>
      </c>
      <c r="AV24">
        <f>$B$11*BU24+$C$11*BV24+$F$11*CG24*(1-CJ24)</f>
        <v>0</v>
      </c>
      <c r="AW24">
        <f>AV24*AX24</f>
        <v>0</v>
      </c>
      <c r="AX24">
        <f>($B$11*$D$9+$C$11*$D$9+$F$11*((CT24+CL24)/MAX(CT24+CL24+CU24, 0.1)*$I$9+CU24/MAX(CT24+CL24+CU24, 0.1)*$J$9))/($B$11+$C$11+$F$11)</f>
        <v>0</v>
      </c>
      <c r="AY24">
        <f>($B$11*$K$9+$C$11*$K$9+$F$11*((CT24+CL24)/MAX(CT24+CL24+CU24, 0.1)*$P$9+CU24/MAX(CT24+CL24+CU24, 0.1)*$Q$9))/($B$11+$C$11+$F$11)</f>
        <v>0</v>
      </c>
      <c r="AZ24">
        <v>6</v>
      </c>
      <c r="BA24">
        <v>0.5</v>
      </c>
      <c r="BB24" t="s">
        <v>353</v>
      </c>
      <c r="BC24">
        <v>2</v>
      </c>
      <c r="BD24" t="b">
        <v>0</v>
      </c>
      <c r="BE24">
        <v>1750872338.75</v>
      </c>
      <c r="BF24">
        <v>399.9231</v>
      </c>
      <c r="BG24">
        <v>404.9501666666667</v>
      </c>
      <c r="BH24">
        <v>24.48623</v>
      </c>
      <c r="BI24">
        <v>23.11924666666666</v>
      </c>
      <c r="BJ24">
        <v>397.8201</v>
      </c>
      <c r="BK24">
        <v>24.10127666666667</v>
      </c>
      <c r="BL24">
        <v>799.9911333333333</v>
      </c>
      <c r="BM24">
        <v>100.8056666666667</v>
      </c>
      <c r="BN24">
        <v>0.10004238</v>
      </c>
      <c r="BO24">
        <v>30.96627666666667</v>
      </c>
      <c r="BP24">
        <v>30.97297666666667</v>
      </c>
      <c r="BQ24">
        <v>999.9000000000002</v>
      </c>
      <c r="BR24">
        <v>0</v>
      </c>
      <c r="BS24">
        <v>0</v>
      </c>
      <c r="BT24">
        <v>9997.798333333334</v>
      </c>
      <c r="BU24">
        <v>0</v>
      </c>
      <c r="BV24">
        <v>0.001554422</v>
      </c>
      <c r="BW24">
        <v>-5.04857</v>
      </c>
      <c r="BX24">
        <v>409.9395000000001</v>
      </c>
      <c r="BY24">
        <v>414.5339000000001</v>
      </c>
      <c r="BZ24">
        <v>1.366990333333334</v>
      </c>
      <c r="CA24">
        <v>404.9501666666667</v>
      </c>
      <c r="CB24">
        <v>23.11924666666666</v>
      </c>
      <c r="CC24">
        <v>2.468350666666667</v>
      </c>
      <c r="CD24">
        <v>2.330552</v>
      </c>
      <c r="CE24">
        <v>20.81930666666667</v>
      </c>
      <c r="CF24">
        <v>19.88913333333334</v>
      </c>
      <c r="CG24">
        <v>999.9860999999999</v>
      </c>
      <c r="CH24">
        <v>0.9599955000000001</v>
      </c>
      <c r="CI24">
        <v>0.04000475666666665</v>
      </c>
      <c r="CJ24">
        <v>0</v>
      </c>
      <c r="CK24">
        <v>2.2685</v>
      </c>
      <c r="CL24">
        <v>0</v>
      </c>
      <c r="CM24">
        <v>7654.662333333333</v>
      </c>
      <c r="CN24">
        <v>7946.789000000001</v>
      </c>
      <c r="CO24">
        <v>36.56619999999999</v>
      </c>
      <c r="CP24">
        <v>39.43699999999998</v>
      </c>
      <c r="CQ24">
        <v>37.625</v>
      </c>
      <c r="CR24">
        <v>38.9538</v>
      </c>
      <c r="CS24">
        <v>37.31199999999999</v>
      </c>
      <c r="CT24">
        <v>959.9826666666667</v>
      </c>
      <c r="CU24">
        <v>40.00266666666666</v>
      </c>
      <c r="CV24">
        <v>0</v>
      </c>
      <c r="CW24">
        <v>1750872363.4</v>
      </c>
      <c r="CX24">
        <v>0</v>
      </c>
      <c r="CY24">
        <v>1750872363.5</v>
      </c>
      <c r="CZ24" t="s">
        <v>381</v>
      </c>
      <c r="DA24">
        <v>1750872363.5</v>
      </c>
      <c r="DB24">
        <v>1750872225</v>
      </c>
      <c r="DC24">
        <v>8</v>
      </c>
      <c r="DD24">
        <v>0.024</v>
      </c>
      <c r="DE24">
        <v>-0.014</v>
      </c>
      <c r="DF24">
        <v>2.103</v>
      </c>
      <c r="DG24">
        <v>0.365</v>
      </c>
      <c r="DH24">
        <v>405</v>
      </c>
      <c r="DI24">
        <v>24</v>
      </c>
      <c r="DJ24">
        <v>0.19</v>
      </c>
      <c r="DK24">
        <v>0.17</v>
      </c>
      <c r="DL24">
        <v>-5.028934</v>
      </c>
      <c r="DM24">
        <v>-0.2824252908067545</v>
      </c>
      <c r="DN24">
        <v>0.03676281339886819</v>
      </c>
      <c r="DO24">
        <v>0</v>
      </c>
      <c r="DP24">
        <v>1.3807495</v>
      </c>
      <c r="DQ24">
        <v>-0.2197630018761774</v>
      </c>
      <c r="DR24">
        <v>0.02525772227953266</v>
      </c>
      <c r="DS24">
        <v>0</v>
      </c>
      <c r="DT24">
        <v>0</v>
      </c>
      <c r="DU24">
        <v>2</v>
      </c>
      <c r="DV24" t="s">
        <v>355</v>
      </c>
      <c r="DW24">
        <v>3.45321</v>
      </c>
      <c r="DX24">
        <v>2.78019</v>
      </c>
      <c r="DY24">
        <v>0.094696</v>
      </c>
      <c r="DZ24">
        <v>0.0959464</v>
      </c>
      <c r="EA24">
        <v>0.118321</v>
      </c>
      <c r="EB24">
        <v>0.113437</v>
      </c>
      <c r="EC24">
        <v>27052.8</v>
      </c>
      <c r="ED24">
        <v>30809.1</v>
      </c>
      <c r="EE24">
        <v>29042.5</v>
      </c>
      <c r="EF24">
        <v>34686.5</v>
      </c>
      <c r="EG24">
        <v>29589.3</v>
      </c>
      <c r="EH24">
        <v>38170.2</v>
      </c>
      <c r="EI24">
        <v>35717.4</v>
      </c>
      <c r="EJ24">
        <v>45899.6</v>
      </c>
      <c r="EK24">
        <v>2.14037</v>
      </c>
      <c r="EL24">
        <v>2.13825</v>
      </c>
      <c r="EM24">
        <v>0.0556186</v>
      </c>
      <c r="EN24">
        <v>0</v>
      </c>
      <c r="EO24">
        <v>30.0884</v>
      </c>
      <c r="EP24">
        <v>999.9</v>
      </c>
      <c r="EQ24">
        <v>72.5</v>
      </c>
      <c r="ER24">
        <v>27.5</v>
      </c>
      <c r="ES24">
        <v>26.5071</v>
      </c>
      <c r="ET24">
        <v>62.03</v>
      </c>
      <c r="EU24">
        <v>24.4792</v>
      </c>
      <c r="EV24">
        <v>2</v>
      </c>
      <c r="EW24">
        <v>0.135694</v>
      </c>
      <c r="EX24">
        <v>0</v>
      </c>
      <c r="EY24">
        <v>20.2891</v>
      </c>
      <c r="EZ24">
        <v>5.20696</v>
      </c>
      <c r="FA24">
        <v>11.974</v>
      </c>
      <c r="FB24">
        <v>4.99</v>
      </c>
      <c r="FC24">
        <v>3.2714</v>
      </c>
      <c r="FD24">
        <v>2979.9</v>
      </c>
      <c r="FE24">
        <v>9999</v>
      </c>
      <c r="FF24">
        <v>9999</v>
      </c>
      <c r="FG24">
        <v>999.9</v>
      </c>
      <c r="FH24">
        <v>4.97267</v>
      </c>
      <c r="FI24">
        <v>1.86295</v>
      </c>
      <c r="FJ24">
        <v>1.86479</v>
      </c>
      <c r="FK24">
        <v>1.86325</v>
      </c>
      <c r="FL24">
        <v>1.86325</v>
      </c>
      <c r="FM24">
        <v>1.86375</v>
      </c>
      <c r="FN24">
        <v>1.8602</v>
      </c>
      <c r="FO24">
        <v>1.86304</v>
      </c>
      <c r="FP24">
        <v>0</v>
      </c>
      <c r="FQ24">
        <v>0</v>
      </c>
      <c r="FR24">
        <v>0</v>
      </c>
      <c r="FS24">
        <v>0</v>
      </c>
      <c r="FT24" t="s">
        <v>356</v>
      </c>
      <c r="FU24" t="s">
        <v>357</v>
      </c>
      <c r="FV24" t="s">
        <v>358</v>
      </c>
      <c r="FW24" t="s">
        <v>358</v>
      </c>
      <c r="FX24" t="s">
        <v>358</v>
      </c>
      <c r="FY24" t="s">
        <v>358</v>
      </c>
      <c r="FZ24">
        <v>0</v>
      </c>
      <c r="GA24">
        <v>100</v>
      </c>
      <c r="GB24">
        <v>100</v>
      </c>
      <c r="GC24">
        <v>2.103</v>
      </c>
      <c r="GD24">
        <v>0.3854</v>
      </c>
      <c r="GE24">
        <v>2.362422965833722</v>
      </c>
      <c r="GF24">
        <v>-0.001033730503750798</v>
      </c>
      <c r="GG24">
        <v>9.120241388950126E-07</v>
      </c>
      <c r="GH24">
        <v>-2.246115299815222E-10</v>
      </c>
      <c r="GI24">
        <v>-0.125583133540816</v>
      </c>
      <c r="GJ24">
        <v>-0.01814858093373864</v>
      </c>
      <c r="GK24">
        <v>0.002091959988359369</v>
      </c>
      <c r="GL24">
        <v>-1.90871700788604E-05</v>
      </c>
      <c r="GM24">
        <v>2</v>
      </c>
      <c r="GN24">
        <v>2210</v>
      </c>
      <c r="GO24">
        <v>1</v>
      </c>
      <c r="GP24">
        <v>26</v>
      </c>
      <c r="GQ24">
        <v>2.1</v>
      </c>
      <c r="GR24">
        <v>2</v>
      </c>
      <c r="GS24">
        <v>1.26709</v>
      </c>
      <c r="GT24">
        <v>2.38037</v>
      </c>
      <c r="GU24">
        <v>2.34741</v>
      </c>
      <c r="GV24">
        <v>2.75879</v>
      </c>
      <c r="GW24">
        <v>2.39868</v>
      </c>
      <c r="GX24">
        <v>2.30469</v>
      </c>
      <c r="GY24">
        <v>33.9187</v>
      </c>
      <c r="GZ24">
        <v>13.7205</v>
      </c>
      <c r="HA24">
        <v>18</v>
      </c>
      <c r="HB24">
        <v>588.025</v>
      </c>
      <c r="HC24">
        <v>630.971</v>
      </c>
      <c r="HD24">
        <v>30.4017</v>
      </c>
      <c r="HE24">
        <v>29.5063</v>
      </c>
      <c r="HF24">
        <v>30.0008</v>
      </c>
      <c r="HG24">
        <v>29.2725</v>
      </c>
      <c r="HH24">
        <v>29.2103</v>
      </c>
      <c r="HI24">
        <v>25.4271</v>
      </c>
      <c r="HJ24">
        <v>20.8375</v>
      </c>
      <c r="HK24">
        <v>100</v>
      </c>
      <c r="HL24">
        <v>-999.9</v>
      </c>
      <c r="HM24">
        <v>405</v>
      </c>
      <c r="HN24">
        <v>23.0881</v>
      </c>
      <c r="HO24">
        <v>99.6634</v>
      </c>
      <c r="HP24">
        <v>100.236</v>
      </c>
    </row>
    <row r="25" spans="1:224">
      <c r="A25">
        <v>9</v>
      </c>
      <c r="B25">
        <v>1750872449</v>
      </c>
      <c r="C25">
        <v>1023.400000095367</v>
      </c>
      <c r="D25" t="s">
        <v>382</v>
      </c>
      <c r="E25" t="s">
        <v>383</v>
      </c>
      <c r="F25">
        <v>15</v>
      </c>
      <c r="G25">
        <v>1750872441.25</v>
      </c>
      <c r="H25">
        <f>(I25)/1000</f>
        <v>0</v>
      </c>
      <c r="I25">
        <f>IF(BD25, AL25, AF25)</f>
        <v>0</v>
      </c>
      <c r="J25">
        <f>IF(BD25, AG25, AE25)</f>
        <v>0</v>
      </c>
      <c r="K25">
        <f>BF25 - IF(AS25&gt;1, J25*AZ25*100.0/(AU25), 0)</f>
        <v>0</v>
      </c>
      <c r="L25">
        <f>((R25-H25/2)*K25-J25)/(R25+H25/2)</f>
        <v>0</v>
      </c>
      <c r="M25">
        <f>L25*(BM25+BN25)/1000.0</f>
        <v>0</v>
      </c>
      <c r="N25">
        <f>(BF25 - IF(AS25&gt;1, J25*AZ25*100.0/(AU25), 0))*(BM25+BN25)/1000.0</f>
        <v>0</v>
      </c>
      <c r="O25">
        <f>2.0/((1/Q25-1/P25)+SIGN(Q25)*SQRT((1/Q25-1/P25)*(1/Q25-1/P25) + 4*BA25/((BA25+1)*(BA25+1))*(2*1/Q25*1/P25-1/P25*1/P25)))</f>
        <v>0</v>
      </c>
      <c r="P25">
        <f>IF(LEFT(BB25,1)&lt;&gt;"0",IF(LEFT(BB25,1)="1",3.0,BC25),$D$5+$E$5*(BT25*BM25/($K$5*1000))+$F$5*(BT25*BM25/($K$5*1000))*MAX(MIN(AZ25,$J$5),$I$5)*MAX(MIN(AZ25,$J$5),$I$5)+$G$5*MAX(MIN(AZ25,$J$5),$I$5)*(BT25*BM25/($K$5*1000))+$H$5*(BT25*BM25/($K$5*1000))*(BT25*BM25/($K$5*1000)))</f>
        <v>0</v>
      </c>
      <c r="Q25">
        <f>H25*(1000-(1000*0.61365*exp(17.502*U25/(240.97+U25))/(BM25+BN25)+BH25)/2)/(1000*0.61365*exp(17.502*U25/(240.97+U25))/(BM25+BN25)-BH25)</f>
        <v>0</v>
      </c>
      <c r="R25">
        <f>1/((BA25+1)/(O25/1.6)+1/(P25/1.37)) + BA25/((BA25+1)/(O25/1.6) + BA25/(P25/1.37))</f>
        <v>0</v>
      </c>
      <c r="S25">
        <f>(AV25*AY25)</f>
        <v>0</v>
      </c>
      <c r="T25">
        <f>(BO25+(S25+2*0.95*5.67E-8*(((BO25+$B$7)+273)^4-(BO25+273)^4)-44100*H25)/(1.84*29.3*P25+8*0.95*5.67E-8*(BO25+273)^3))</f>
        <v>0</v>
      </c>
      <c r="U25">
        <f>($C$7*BP25+$D$7*BQ25+$E$7*T25)</f>
        <v>0</v>
      </c>
      <c r="V25">
        <f>0.61365*exp(17.502*U25/(240.97+U25))</f>
        <v>0</v>
      </c>
      <c r="W25">
        <f>(X25/Y25*100)</f>
        <v>0</v>
      </c>
      <c r="X25">
        <f>BH25*(BM25+BN25)/1000</f>
        <v>0</v>
      </c>
      <c r="Y25">
        <f>0.61365*exp(17.502*BO25/(240.97+BO25))</f>
        <v>0</v>
      </c>
      <c r="Z25">
        <f>(V25-BH25*(BM25+BN25)/1000)</f>
        <v>0</v>
      </c>
      <c r="AA25">
        <f>(-H25*44100)</f>
        <v>0</v>
      </c>
      <c r="AB25">
        <f>2*29.3*P25*0.92*(BO25-U25)</f>
        <v>0</v>
      </c>
      <c r="AC25">
        <f>2*0.95*5.67E-8*(((BO25+$B$7)+273)^4-(U25+273)^4)</f>
        <v>0</v>
      </c>
      <c r="AD25">
        <f>S25+AC25+AA25+AB25</f>
        <v>0</v>
      </c>
      <c r="AE25">
        <f>BL25*AS25*(BG25-BF25*(1000-AS25*BI25)/(1000-AS25*BH25))/(100*AZ25)</f>
        <v>0</v>
      </c>
      <c r="AF25">
        <f>1000*BL25*AS25*(BH25-BI25)/(100*AZ25*(1000-AS25*BH25))</f>
        <v>0</v>
      </c>
      <c r="AG25">
        <f>(AH25 - AI25 - BM25*1E3/(8.314*(BO25+273.15)) * AK25/BL25 * AJ25) * BL25/(100*AZ25) * (1000 - BI25)/1000</f>
        <v>0</v>
      </c>
      <c r="AH25">
        <v>414.6541490881339</v>
      </c>
      <c r="AI25">
        <v>409.9928303030301</v>
      </c>
      <c r="AJ25">
        <v>-0.003444251227137756</v>
      </c>
      <c r="AK25">
        <v>66.94356543549705</v>
      </c>
      <c r="AL25">
        <f>(AN25 - AM25 + BM25*1E3/(8.314*(BO25+273.15)) * AP25/BL25 * AO25) * BL25/(100*AZ25) * 1000/(1000 - AN25)</f>
        <v>0</v>
      </c>
      <c r="AM25">
        <v>23.29554929834729</v>
      </c>
      <c r="AN25">
        <v>24.83904242424243</v>
      </c>
      <c r="AO25">
        <v>0.0005051724727402499</v>
      </c>
      <c r="AP25">
        <v>79.59191477448118</v>
      </c>
      <c r="AQ25">
        <v>470</v>
      </c>
      <c r="AR25">
        <v>59</v>
      </c>
      <c r="AS25">
        <f>IF(AQ25*$H$13&gt;=AU25,1.0,(AU25/(AU25-AQ25*$H$13)))</f>
        <v>0</v>
      </c>
      <c r="AT25">
        <f>(AS25-1)*100</f>
        <v>0</v>
      </c>
      <c r="AU25">
        <f>MAX(0,($B$13+$C$13*BT25)/(1+$D$13*BT25)*BM25/(BO25+273)*$E$13)</f>
        <v>0</v>
      </c>
      <c r="AV25">
        <f>$B$11*BU25+$C$11*BV25+$F$11*CG25*(1-CJ25)</f>
        <v>0</v>
      </c>
      <c r="AW25">
        <f>AV25*AX25</f>
        <v>0</v>
      </c>
      <c r="AX25">
        <f>($B$11*$D$9+$C$11*$D$9+$F$11*((CT25+CL25)/MAX(CT25+CL25+CU25, 0.1)*$I$9+CU25/MAX(CT25+CL25+CU25, 0.1)*$J$9))/($B$11+$C$11+$F$11)</f>
        <v>0</v>
      </c>
      <c r="AY25">
        <f>($B$11*$K$9+$C$11*$K$9+$F$11*((CT25+CL25)/MAX(CT25+CL25+CU25, 0.1)*$P$9+CU25/MAX(CT25+CL25+CU25, 0.1)*$Q$9))/($B$11+$C$11+$F$11)</f>
        <v>0</v>
      </c>
      <c r="AZ25">
        <v>6</v>
      </c>
      <c r="BA25">
        <v>0.5</v>
      </c>
      <c r="BB25" t="s">
        <v>353</v>
      </c>
      <c r="BC25">
        <v>2</v>
      </c>
      <c r="BD25" t="b">
        <v>0</v>
      </c>
      <c r="BE25">
        <v>1750872441.25</v>
      </c>
      <c r="BF25">
        <v>399.8079999999999</v>
      </c>
      <c r="BG25">
        <v>405.0030333333333</v>
      </c>
      <c r="BH25">
        <v>24.81288</v>
      </c>
      <c r="BI25">
        <v>23.28481666666666</v>
      </c>
      <c r="BJ25">
        <v>397.783</v>
      </c>
      <c r="BK25">
        <v>24.41248333333334</v>
      </c>
      <c r="BL25">
        <v>800.0162</v>
      </c>
      <c r="BM25">
        <v>100.8118333333333</v>
      </c>
      <c r="BN25">
        <v>0.10006857</v>
      </c>
      <c r="BO25">
        <v>31.20367</v>
      </c>
      <c r="BP25">
        <v>31.06230666666667</v>
      </c>
      <c r="BQ25">
        <v>999.9000000000002</v>
      </c>
      <c r="BR25">
        <v>0</v>
      </c>
      <c r="BS25">
        <v>0</v>
      </c>
      <c r="BT25">
        <v>10007.37333333333</v>
      </c>
      <c r="BU25">
        <v>0</v>
      </c>
      <c r="BV25">
        <v>0.001549007333333333</v>
      </c>
      <c r="BW25">
        <v>-5.114636000000002</v>
      </c>
      <c r="BX25">
        <v>410.0634000000001</v>
      </c>
      <c r="BY25">
        <v>414.6583666666666</v>
      </c>
      <c r="BZ25">
        <v>1.528062333333334</v>
      </c>
      <c r="CA25">
        <v>405.0030333333333</v>
      </c>
      <c r="CB25">
        <v>23.28481666666666</v>
      </c>
      <c r="CC25">
        <v>2.501432666666667</v>
      </c>
      <c r="CD25">
        <v>2.347386</v>
      </c>
      <c r="CE25">
        <v>21.03581666666667</v>
      </c>
      <c r="CF25">
        <v>20.00531333333333</v>
      </c>
      <c r="CG25">
        <v>1000.009266666667</v>
      </c>
      <c r="CH25">
        <v>0.9599910333333334</v>
      </c>
      <c r="CI25">
        <v>0.04000878999999999</v>
      </c>
      <c r="CJ25">
        <v>0</v>
      </c>
      <c r="CK25">
        <v>1.601666666666667</v>
      </c>
      <c r="CL25">
        <v>0</v>
      </c>
      <c r="CM25">
        <v>7037.969</v>
      </c>
      <c r="CN25">
        <v>7946.961999999999</v>
      </c>
      <c r="CO25">
        <v>36.75</v>
      </c>
      <c r="CP25">
        <v>39.6103</v>
      </c>
      <c r="CQ25">
        <v>37.8351</v>
      </c>
      <c r="CR25">
        <v>39.125</v>
      </c>
      <c r="CS25">
        <v>37.43699999999999</v>
      </c>
      <c r="CT25">
        <v>959.9996666666667</v>
      </c>
      <c r="CU25">
        <v>40.01</v>
      </c>
      <c r="CV25">
        <v>0</v>
      </c>
      <c r="CW25">
        <v>1750872466</v>
      </c>
      <c r="CX25">
        <v>0</v>
      </c>
      <c r="CY25">
        <v>1750872466</v>
      </c>
      <c r="CZ25" t="s">
        <v>384</v>
      </c>
      <c r="DA25">
        <v>1750872466</v>
      </c>
      <c r="DB25">
        <v>1750872225</v>
      </c>
      <c r="DC25">
        <v>9</v>
      </c>
      <c r="DD25">
        <v>-0.078</v>
      </c>
      <c r="DE25">
        <v>-0.014</v>
      </c>
      <c r="DF25">
        <v>2.025</v>
      </c>
      <c r="DG25">
        <v>0.365</v>
      </c>
      <c r="DH25">
        <v>405</v>
      </c>
      <c r="DI25">
        <v>24</v>
      </c>
      <c r="DJ25">
        <v>0.21</v>
      </c>
      <c r="DK25">
        <v>0.17</v>
      </c>
      <c r="DL25">
        <v>-5.0917535</v>
      </c>
      <c r="DM25">
        <v>-0.4556807504690353</v>
      </c>
      <c r="DN25">
        <v>0.04859359898947598</v>
      </c>
      <c r="DO25">
        <v>0</v>
      </c>
      <c r="DP25">
        <v>1.5192645</v>
      </c>
      <c r="DQ25">
        <v>0.1499630769230719</v>
      </c>
      <c r="DR25">
        <v>0.02761932973028128</v>
      </c>
      <c r="DS25">
        <v>0</v>
      </c>
      <c r="DT25">
        <v>0</v>
      </c>
      <c r="DU25">
        <v>2</v>
      </c>
      <c r="DV25" t="s">
        <v>355</v>
      </c>
      <c r="DW25">
        <v>3.45323</v>
      </c>
      <c r="DX25">
        <v>2.78094</v>
      </c>
      <c r="DY25">
        <v>0.0946364</v>
      </c>
      <c r="DZ25">
        <v>0.09591040000000001</v>
      </c>
      <c r="EA25">
        <v>0.119399</v>
      </c>
      <c r="EB25">
        <v>0.11397</v>
      </c>
      <c r="EC25">
        <v>27045.3</v>
      </c>
      <c r="ED25">
        <v>30800</v>
      </c>
      <c r="EE25">
        <v>29033.1</v>
      </c>
      <c r="EF25">
        <v>34675.8</v>
      </c>
      <c r="EG25">
        <v>29544</v>
      </c>
      <c r="EH25">
        <v>38135.4</v>
      </c>
      <c r="EI25">
        <v>35705.8</v>
      </c>
      <c r="EJ25">
        <v>45885.1</v>
      </c>
      <c r="EK25">
        <v>1.60885</v>
      </c>
      <c r="EL25">
        <v>2.132</v>
      </c>
      <c r="EM25">
        <v>0.0566691</v>
      </c>
      <c r="EN25">
        <v>0</v>
      </c>
      <c r="EO25">
        <v>30.1829</v>
      </c>
      <c r="EP25">
        <v>999.9</v>
      </c>
      <c r="EQ25">
        <v>72.09999999999999</v>
      </c>
      <c r="ER25">
        <v>27.8</v>
      </c>
      <c r="ES25">
        <v>26.8269</v>
      </c>
      <c r="ET25">
        <v>61.75</v>
      </c>
      <c r="EU25">
        <v>24.4832</v>
      </c>
      <c r="EV25">
        <v>2</v>
      </c>
      <c r="EW25">
        <v>0.151095</v>
      </c>
      <c r="EX25">
        <v>0</v>
      </c>
      <c r="EY25">
        <v>20.2897</v>
      </c>
      <c r="EZ25">
        <v>5.2107</v>
      </c>
      <c r="FA25">
        <v>11.974</v>
      </c>
      <c r="FB25">
        <v>4.9894</v>
      </c>
      <c r="FC25">
        <v>3.272</v>
      </c>
      <c r="FD25">
        <v>2983.1</v>
      </c>
      <c r="FE25">
        <v>9999</v>
      </c>
      <c r="FF25">
        <v>9999</v>
      </c>
      <c r="FG25">
        <v>999.9</v>
      </c>
      <c r="FH25">
        <v>4.97265</v>
      </c>
      <c r="FI25">
        <v>1.86295</v>
      </c>
      <c r="FJ25">
        <v>1.86481</v>
      </c>
      <c r="FK25">
        <v>1.86325</v>
      </c>
      <c r="FL25">
        <v>1.86325</v>
      </c>
      <c r="FM25">
        <v>1.86374</v>
      </c>
      <c r="FN25">
        <v>1.86021</v>
      </c>
      <c r="FO25">
        <v>1.86306</v>
      </c>
      <c r="FP25">
        <v>0</v>
      </c>
      <c r="FQ25">
        <v>0</v>
      </c>
      <c r="FR25">
        <v>0</v>
      </c>
      <c r="FS25">
        <v>0</v>
      </c>
      <c r="FT25" t="s">
        <v>356</v>
      </c>
      <c r="FU25" t="s">
        <v>357</v>
      </c>
      <c r="FV25" t="s">
        <v>358</v>
      </c>
      <c r="FW25" t="s">
        <v>358</v>
      </c>
      <c r="FX25" t="s">
        <v>358</v>
      </c>
      <c r="FY25" t="s">
        <v>358</v>
      </c>
      <c r="FZ25">
        <v>0</v>
      </c>
      <c r="GA25">
        <v>100</v>
      </c>
      <c r="GB25">
        <v>100</v>
      </c>
      <c r="GC25">
        <v>2.025</v>
      </c>
      <c r="GD25">
        <v>0.4018</v>
      </c>
      <c r="GE25">
        <v>2.386520740937379</v>
      </c>
      <c r="GF25">
        <v>-0.001033730503750798</v>
      </c>
      <c r="GG25">
        <v>9.120241388950126E-07</v>
      </c>
      <c r="GH25">
        <v>-2.246115299815222E-10</v>
      </c>
      <c r="GI25">
        <v>-0.125583133540816</v>
      </c>
      <c r="GJ25">
        <v>-0.01814858093373864</v>
      </c>
      <c r="GK25">
        <v>0.002091959988359369</v>
      </c>
      <c r="GL25">
        <v>-1.90871700788604E-05</v>
      </c>
      <c r="GM25">
        <v>2</v>
      </c>
      <c r="GN25">
        <v>2210</v>
      </c>
      <c r="GO25">
        <v>1</v>
      </c>
      <c r="GP25">
        <v>26</v>
      </c>
      <c r="GQ25">
        <v>1.4</v>
      </c>
      <c r="GR25">
        <v>3.7</v>
      </c>
      <c r="GS25">
        <v>1.26953</v>
      </c>
      <c r="GT25">
        <v>2.38892</v>
      </c>
      <c r="GU25">
        <v>2.34741</v>
      </c>
      <c r="GV25">
        <v>2.75391</v>
      </c>
      <c r="GW25">
        <v>2.39868</v>
      </c>
      <c r="GX25">
        <v>2.29004</v>
      </c>
      <c r="GY25">
        <v>34.1905</v>
      </c>
      <c r="GZ25">
        <v>13.6942</v>
      </c>
      <c r="HA25">
        <v>18</v>
      </c>
      <c r="HB25">
        <v>303.012</v>
      </c>
      <c r="HC25">
        <v>628.004</v>
      </c>
      <c r="HD25">
        <v>30.5907</v>
      </c>
      <c r="HE25">
        <v>29.717</v>
      </c>
      <c r="HF25">
        <v>30.0008</v>
      </c>
      <c r="HG25">
        <v>29.4911</v>
      </c>
      <c r="HH25">
        <v>29.4012</v>
      </c>
      <c r="HI25">
        <v>25.4515</v>
      </c>
      <c r="HJ25">
        <v>21.0267</v>
      </c>
      <c r="HK25">
        <v>100</v>
      </c>
      <c r="HL25">
        <v>-999.9</v>
      </c>
      <c r="HM25">
        <v>405</v>
      </c>
      <c r="HN25">
        <v>23.2431</v>
      </c>
      <c r="HO25">
        <v>99.6311</v>
      </c>
      <c r="HP25">
        <v>100.205</v>
      </c>
    </row>
    <row r="26" spans="1:224">
      <c r="A26">
        <v>10</v>
      </c>
      <c r="B26">
        <v>1750872650.5</v>
      </c>
      <c r="C26">
        <v>1224.900000095367</v>
      </c>
      <c r="D26" t="s">
        <v>385</v>
      </c>
      <c r="E26" t="s">
        <v>386</v>
      </c>
      <c r="F26">
        <v>15</v>
      </c>
      <c r="G26">
        <v>1750872642.75</v>
      </c>
      <c r="H26">
        <f>(I26)/1000</f>
        <v>0</v>
      </c>
      <c r="I26">
        <f>IF(BD26, AL26, AF26)</f>
        <v>0</v>
      </c>
      <c r="J26">
        <f>IF(BD26, AG26, AE26)</f>
        <v>0</v>
      </c>
      <c r="K26">
        <f>BF26 - IF(AS26&gt;1, J26*AZ26*100.0/(AU26), 0)</f>
        <v>0</v>
      </c>
      <c r="L26">
        <f>((R26-H26/2)*K26-J26)/(R26+H26/2)</f>
        <v>0</v>
      </c>
      <c r="M26">
        <f>L26*(BM26+BN26)/1000.0</f>
        <v>0</v>
      </c>
      <c r="N26">
        <f>(BF26 - IF(AS26&gt;1, J26*AZ26*100.0/(AU26), 0))*(BM26+BN26)/1000.0</f>
        <v>0</v>
      </c>
      <c r="O26">
        <f>2.0/((1/Q26-1/P26)+SIGN(Q26)*SQRT((1/Q26-1/P26)*(1/Q26-1/P26) + 4*BA26/((BA26+1)*(BA26+1))*(2*1/Q26*1/P26-1/P26*1/P26)))</f>
        <v>0</v>
      </c>
      <c r="P26">
        <f>IF(LEFT(BB26,1)&lt;&gt;"0",IF(LEFT(BB26,1)="1",3.0,BC26),$D$5+$E$5*(BT26*BM26/($K$5*1000))+$F$5*(BT26*BM26/($K$5*1000))*MAX(MIN(AZ26,$J$5),$I$5)*MAX(MIN(AZ26,$J$5),$I$5)+$G$5*MAX(MIN(AZ26,$J$5),$I$5)*(BT26*BM26/($K$5*1000))+$H$5*(BT26*BM26/($K$5*1000))*(BT26*BM26/($K$5*1000)))</f>
        <v>0</v>
      </c>
      <c r="Q26">
        <f>H26*(1000-(1000*0.61365*exp(17.502*U26/(240.97+U26))/(BM26+BN26)+BH26)/2)/(1000*0.61365*exp(17.502*U26/(240.97+U26))/(BM26+BN26)-BH26)</f>
        <v>0</v>
      </c>
      <c r="R26">
        <f>1/((BA26+1)/(O26/1.6)+1/(P26/1.37)) + BA26/((BA26+1)/(O26/1.6) + BA26/(P26/1.37))</f>
        <v>0</v>
      </c>
      <c r="S26">
        <f>(AV26*AY26)</f>
        <v>0</v>
      </c>
      <c r="T26">
        <f>(BO26+(S26+2*0.95*5.67E-8*(((BO26+$B$7)+273)^4-(BO26+273)^4)-44100*H26)/(1.84*29.3*P26+8*0.95*5.67E-8*(BO26+273)^3))</f>
        <v>0</v>
      </c>
      <c r="U26">
        <f>($C$7*BP26+$D$7*BQ26+$E$7*T26)</f>
        <v>0</v>
      </c>
      <c r="V26">
        <f>0.61365*exp(17.502*U26/(240.97+U26))</f>
        <v>0</v>
      </c>
      <c r="W26">
        <f>(X26/Y26*100)</f>
        <v>0</v>
      </c>
      <c r="X26">
        <f>BH26*(BM26+BN26)/1000</f>
        <v>0</v>
      </c>
      <c r="Y26">
        <f>0.61365*exp(17.502*BO26/(240.97+BO26))</f>
        <v>0</v>
      </c>
      <c r="Z26">
        <f>(V26-BH26*(BM26+BN26)/1000)</f>
        <v>0</v>
      </c>
      <c r="AA26">
        <f>(-H26*44100)</f>
        <v>0</v>
      </c>
      <c r="AB26">
        <f>2*29.3*P26*0.92*(BO26-U26)</f>
        <v>0</v>
      </c>
      <c r="AC26">
        <f>2*0.95*5.67E-8*(((BO26+$B$7)+273)^4-(U26+273)^4)</f>
        <v>0</v>
      </c>
      <c r="AD26">
        <f>S26+AC26+AA26+AB26</f>
        <v>0</v>
      </c>
      <c r="AE26">
        <f>BL26*AS26*(BG26-BF26*(1000-AS26*BI26)/(1000-AS26*BH26))/(100*AZ26)</f>
        <v>0</v>
      </c>
      <c r="AF26">
        <f>1000*BL26*AS26*(BH26-BI26)/(100*AZ26*(1000-AS26*BH26))</f>
        <v>0</v>
      </c>
      <c r="AG26">
        <f>(AH26 - AI26 - BM26*1E3/(8.314*(BO26+273.15)) * AK26/BL26 * AJ26) * BL26/(100*AZ26) * (1000 - BI26)/1000</f>
        <v>0</v>
      </c>
      <c r="AH26">
        <v>414.7954127402757</v>
      </c>
      <c r="AI26">
        <v>410.2963575757574</v>
      </c>
      <c r="AJ26">
        <v>-0.02209777050548986</v>
      </c>
      <c r="AK26">
        <v>66.942790473759</v>
      </c>
      <c r="AL26">
        <f>(AN26 - AM26 + BM26*1E3/(8.314*(BO26+273.15)) * AP26/BL26 * AO26) * BL26/(100*AZ26) * 1000/(1000 - AN26)</f>
        <v>0</v>
      </c>
      <c r="AM26">
        <v>23.66922741331666</v>
      </c>
      <c r="AN26">
        <v>25.22436727272727</v>
      </c>
      <c r="AO26">
        <v>0.002131162045841548</v>
      </c>
      <c r="AP26">
        <v>79.61407849995702</v>
      </c>
      <c r="AQ26">
        <v>305</v>
      </c>
      <c r="AR26">
        <v>38</v>
      </c>
      <c r="AS26">
        <f>IF(AQ26*$H$13&gt;=AU26,1.0,(AU26/(AU26-AQ26*$H$13)))</f>
        <v>0</v>
      </c>
      <c r="AT26">
        <f>(AS26-1)*100</f>
        <v>0</v>
      </c>
      <c r="AU26">
        <f>MAX(0,($B$13+$C$13*BT26)/(1+$D$13*BT26)*BM26/(BO26+273)*$E$13)</f>
        <v>0</v>
      </c>
      <c r="AV26">
        <f>$B$11*BU26+$C$11*BV26+$F$11*CG26*(1-CJ26)</f>
        <v>0</v>
      </c>
      <c r="AW26">
        <f>AV26*AX26</f>
        <v>0</v>
      </c>
      <c r="AX26">
        <f>($B$11*$D$9+$C$11*$D$9+$F$11*((CT26+CL26)/MAX(CT26+CL26+CU26, 0.1)*$I$9+CU26/MAX(CT26+CL26+CU26, 0.1)*$J$9))/($B$11+$C$11+$F$11)</f>
        <v>0</v>
      </c>
      <c r="AY26">
        <f>($B$11*$K$9+$C$11*$K$9+$F$11*((CT26+CL26)/MAX(CT26+CL26+CU26, 0.1)*$P$9+CU26/MAX(CT26+CL26+CU26, 0.1)*$Q$9))/($B$11+$C$11+$F$11)</f>
        <v>0</v>
      </c>
      <c r="AZ26">
        <v>6</v>
      </c>
      <c r="BA26">
        <v>0.5</v>
      </c>
      <c r="BB26" t="s">
        <v>353</v>
      </c>
      <c r="BC26">
        <v>2</v>
      </c>
      <c r="BD26" t="b">
        <v>0</v>
      </c>
      <c r="BE26">
        <v>1750872642.75</v>
      </c>
      <c r="BF26">
        <v>399.9970666666667</v>
      </c>
      <c r="BG26">
        <v>404.9925</v>
      </c>
      <c r="BH26">
        <v>25.18462333333333</v>
      </c>
      <c r="BI26">
        <v>23.65794666666666</v>
      </c>
      <c r="BJ26">
        <v>397.9580666666667</v>
      </c>
      <c r="BK26">
        <v>24.76646333333333</v>
      </c>
      <c r="BL26">
        <v>799.9943</v>
      </c>
      <c r="BM26">
        <v>100.8230333333333</v>
      </c>
      <c r="BN26">
        <v>0.09990510000000001</v>
      </c>
      <c r="BO26">
        <v>31.50076</v>
      </c>
      <c r="BP26">
        <v>31.49321333333334</v>
      </c>
      <c r="BQ26">
        <v>999.9000000000002</v>
      </c>
      <c r="BR26">
        <v>0</v>
      </c>
      <c r="BS26">
        <v>0</v>
      </c>
      <c r="BT26">
        <v>10003.12333333333</v>
      </c>
      <c r="BU26">
        <v>0</v>
      </c>
      <c r="BV26">
        <v>0.001554422</v>
      </c>
      <c r="BW26">
        <v>-5.007316666666667</v>
      </c>
      <c r="BX26">
        <v>410.3189333333333</v>
      </c>
      <c r="BY26">
        <v>414.8058666666667</v>
      </c>
      <c r="BZ26">
        <v>1.526662666666667</v>
      </c>
      <c r="CA26">
        <v>404.9925</v>
      </c>
      <c r="CB26">
        <v>23.65794666666666</v>
      </c>
      <c r="CC26">
        <v>2.539187666666667</v>
      </c>
      <c r="CD26">
        <v>2.385265333333333</v>
      </c>
      <c r="CE26">
        <v>21.27987666666667</v>
      </c>
      <c r="CF26">
        <v>20.26408</v>
      </c>
      <c r="CG26">
        <v>999.9969333333332</v>
      </c>
      <c r="CH26">
        <v>0.9599971000000003</v>
      </c>
      <c r="CI26">
        <v>0.04000277333333332</v>
      </c>
      <c r="CJ26">
        <v>0</v>
      </c>
      <c r="CK26">
        <v>3.097500000000001</v>
      </c>
      <c r="CL26">
        <v>0</v>
      </c>
      <c r="CM26">
        <v>6820.808000000001</v>
      </c>
      <c r="CN26">
        <v>7946.877000000001</v>
      </c>
      <c r="CO26">
        <v>37</v>
      </c>
      <c r="CP26">
        <v>39.82459999999999</v>
      </c>
      <c r="CQ26">
        <v>38.06199999999999</v>
      </c>
      <c r="CR26">
        <v>39.3414</v>
      </c>
      <c r="CS26">
        <v>37.68699999999999</v>
      </c>
      <c r="CT26">
        <v>959.996</v>
      </c>
      <c r="CU26">
        <v>40</v>
      </c>
      <c r="CV26">
        <v>0</v>
      </c>
      <c r="CW26">
        <v>1750872667.6</v>
      </c>
      <c r="CX26">
        <v>0</v>
      </c>
      <c r="CY26">
        <v>1750872667.5</v>
      </c>
      <c r="CZ26" t="s">
        <v>387</v>
      </c>
      <c r="DA26">
        <v>1750872667.5</v>
      </c>
      <c r="DB26">
        <v>1750872225</v>
      </c>
      <c r="DC26">
        <v>10</v>
      </c>
      <c r="DD26">
        <v>0.014</v>
      </c>
      <c r="DE26">
        <v>-0.014</v>
      </c>
      <c r="DF26">
        <v>2.039</v>
      </c>
      <c r="DG26">
        <v>0.365</v>
      </c>
      <c r="DH26">
        <v>405</v>
      </c>
      <c r="DI26">
        <v>24</v>
      </c>
      <c r="DJ26">
        <v>0.23</v>
      </c>
      <c r="DK26">
        <v>0.17</v>
      </c>
      <c r="DL26">
        <v>-5.006943414634146</v>
      </c>
      <c r="DM26">
        <v>0.02744195121951301</v>
      </c>
      <c r="DN26">
        <v>0.01177251006448164</v>
      </c>
      <c r="DO26">
        <v>1</v>
      </c>
      <c r="DP26">
        <v>1.525389756097561</v>
      </c>
      <c r="DQ26">
        <v>0.1084480139372839</v>
      </c>
      <c r="DR26">
        <v>0.02069447310306988</v>
      </c>
      <c r="DS26">
        <v>0</v>
      </c>
      <c r="DT26">
        <v>1</v>
      </c>
      <c r="DU26">
        <v>2</v>
      </c>
      <c r="DV26" t="s">
        <v>365</v>
      </c>
      <c r="DW26">
        <v>3.45356</v>
      </c>
      <c r="DX26">
        <v>2.78085</v>
      </c>
      <c r="DY26">
        <v>0.09461170000000001</v>
      </c>
      <c r="DZ26">
        <v>0.09584579999999999</v>
      </c>
      <c r="EA26">
        <v>0.120567</v>
      </c>
      <c r="EB26">
        <v>0.115152</v>
      </c>
      <c r="EC26">
        <v>27031.5</v>
      </c>
      <c r="ED26">
        <v>30787.6</v>
      </c>
      <c r="EE26">
        <v>29018.7</v>
      </c>
      <c r="EF26">
        <v>34661</v>
      </c>
      <c r="EG26">
        <v>29491.1</v>
      </c>
      <c r="EH26">
        <v>38068.3</v>
      </c>
      <c r="EI26">
        <v>35687.9</v>
      </c>
      <c r="EJ26">
        <v>45864.8</v>
      </c>
      <c r="EK26">
        <v>1.95245</v>
      </c>
      <c r="EL26">
        <v>2.12162</v>
      </c>
      <c r="EM26">
        <v>0.071425</v>
      </c>
      <c r="EN26">
        <v>0</v>
      </c>
      <c r="EO26">
        <v>30.3571</v>
      </c>
      <c r="EP26">
        <v>999.9</v>
      </c>
      <c r="EQ26">
        <v>71.3</v>
      </c>
      <c r="ER26">
        <v>28.3</v>
      </c>
      <c r="ES26">
        <v>27.3087</v>
      </c>
      <c r="ET26">
        <v>61.72</v>
      </c>
      <c r="EU26">
        <v>24.4912</v>
      </c>
      <c r="EV26">
        <v>2</v>
      </c>
      <c r="EW26">
        <v>0.177904</v>
      </c>
      <c r="EX26">
        <v>0</v>
      </c>
      <c r="EY26">
        <v>20.2897</v>
      </c>
      <c r="EZ26">
        <v>5.211</v>
      </c>
      <c r="FA26">
        <v>11.974</v>
      </c>
      <c r="FB26">
        <v>4.98985</v>
      </c>
      <c r="FC26">
        <v>3.272</v>
      </c>
      <c r="FD26">
        <v>2989.3</v>
      </c>
      <c r="FE26">
        <v>9999</v>
      </c>
      <c r="FF26">
        <v>9999</v>
      </c>
      <c r="FG26">
        <v>999.9</v>
      </c>
      <c r="FH26">
        <v>4.97265</v>
      </c>
      <c r="FI26">
        <v>1.86298</v>
      </c>
      <c r="FJ26">
        <v>1.86488</v>
      </c>
      <c r="FK26">
        <v>1.8633</v>
      </c>
      <c r="FL26">
        <v>1.86326</v>
      </c>
      <c r="FM26">
        <v>1.86385</v>
      </c>
      <c r="FN26">
        <v>1.86031</v>
      </c>
      <c r="FO26">
        <v>1.8631</v>
      </c>
      <c r="FP26">
        <v>0</v>
      </c>
      <c r="FQ26">
        <v>0</v>
      </c>
      <c r="FR26">
        <v>0</v>
      </c>
      <c r="FS26">
        <v>0</v>
      </c>
      <c r="FT26" t="s">
        <v>356</v>
      </c>
      <c r="FU26" t="s">
        <v>357</v>
      </c>
      <c r="FV26" t="s">
        <v>358</v>
      </c>
      <c r="FW26" t="s">
        <v>358</v>
      </c>
      <c r="FX26" t="s">
        <v>358</v>
      </c>
      <c r="FY26" t="s">
        <v>358</v>
      </c>
      <c r="FZ26">
        <v>0</v>
      </c>
      <c r="GA26">
        <v>100</v>
      </c>
      <c r="GB26">
        <v>100</v>
      </c>
      <c r="GC26">
        <v>2.039</v>
      </c>
      <c r="GD26">
        <v>0.4201</v>
      </c>
      <c r="GE26">
        <v>2.308105702110799</v>
      </c>
      <c r="GF26">
        <v>-0.001033730503750798</v>
      </c>
      <c r="GG26">
        <v>9.120241388950126E-07</v>
      </c>
      <c r="GH26">
        <v>-2.246115299815222E-10</v>
      </c>
      <c r="GI26">
        <v>-0.125583133540816</v>
      </c>
      <c r="GJ26">
        <v>-0.01814858093373864</v>
      </c>
      <c r="GK26">
        <v>0.002091959988359369</v>
      </c>
      <c r="GL26">
        <v>-1.90871700788604E-05</v>
      </c>
      <c r="GM26">
        <v>2</v>
      </c>
      <c r="GN26">
        <v>2210</v>
      </c>
      <c r="GO26">
        <v>1</v>
      </c>
      <c r="GP26">
        <v>26</v>
      </c>
      <c r="GQ26">
        <v>3.1</v>
      </c>
      <c r="GR26">
        <v>7.1</v>
      </c>
      <c r="GS26">
        <v>1.26953</v>
      </c>
      <c r="GT26">
        <v>2.3999</v>
      </c>
      <c r="GU26">
        <v>2.34741</v>
      </c>
      <c r="GV26">
        <v>2.75513</v>
      </c>
      <c r="GW26">
        <v>2.39868</v>
      </c>
      <c r="GX26">
        <v>2.29736</v>
      </c>
      <c r="GY26">
        <v>34.6235</v>
      </c>
      <c r="GZ26">
        <v>13.6505</v>
      </c>
      <c r="HA26">
        <v>18</v>
      </c>
      <c r="HB26">
        <v>474.113</v>
      </c>
      <c r="HC26">
        <v>623.413</v>
      </c>
      <c r="HD26">
        <v>30.9308</v>
      </c>
      <c r="HE26">
        <v>30.0799</v>
      </c>
      <c r="HF26">
        <v>30.0005</v>
      </c>
      <c r="HG26">
        <v>29.8272</v>
      </c>
      <c r="HH26">
        <v>29.7502</v>
      </c>
      <c r="HI26">
        <v>25.4757</v>
      </c>
      <c r="HJ26">
        <v>21.0068</v>
      </c>
      <c r="HK26">
        <v>100</v>
      </c>
      <c r="HL26">
        <v>-999.9</v>
      </c>
      <c r="HM26">
        <v>405</v>
      </c>
      <c r="HN26">
        <v>23.6723</v>
      </c>
      <c r="HO26">
        <v>99.5814</v>
      </c>
      <c r="HP26">
        <v>100.161</v>
      </c>
    </row>
    <row r="27" spans="1:224">
      <c r="A27">
        <v>11</v>
      </c>
      <c r="B27">
        <v>1750872803</v>
      </c>
      <c r="C27">
        <v>1377.400000095367</v>
      </c>
      <c r="D27" t="s">
        <v>388</v>
      </c>
      <c r="E27" t="s">
        <v>389</v>
      </c>
      <c r="F27">
        <v>15</v>
      </c>
      <c r="G27">
        <v>1750872795.25</v>
      </c>
      <c r="H27">
        <f>(I27)/1000</f>
        <v>0</v>
      </c>
      <c r="I27">
        <f>IF(BD27, AL27, AF27)</f>
        <v>0</v>
      </c>
      <c r="J27">
        <f>IF(BD27, AG27, AE27)</f>
        <v>0</v>
      </c>
      <c r="K27">
        <f>BF27 - IF(AS27&gt;1, J27*AZ27*100.0/(AU27), 0)</f>
        <v>0</v>
      </c>
      <c r="L27">
        <f>((R27-H27/2)*K27-J27)/(R27+H27/2)</f>
        <v>0</v>
      </c>
      <c r="M27">
        <f>L27*(BM27+BN27)/1000.0</f>
        <v>0</v>
      </c>
      <c r="N27">
        <f>(BF27 - IF(AS27&gt;1, J27*AZ27*100.0/(AU27), 0))*(BM27+BN27)/1000.0</f>
        <v>0</v>
      </c>
      <c r="O27">
        <f>2.0/((1/Q27-1/P27)+SIGN(Q27)*SQRT((1/Q27-1/P27)*(1/Q27-1/P27) + 4*BA27/((BA27+1)*(BA27+1))*(2*1/Q27*1/P27-1/P27*1/P27)))</f>
        <v>0</v>
      </c>
      <c r="P27">
        <f>IF(LEFT(BB27,1)&lt;&gt;"0",IF(LEFT(BB27,1)="1",3.0,BC27),$D$5+$E$5*(BT27*BM27/($K$5*1000))+$F$5*(BT27*BM27/($K$5*1000))*MAX(MIN(AZ27,$J$5),$I$5)*MAX(MIN(AZ27,$J$5),$I$5)+$G$5*MAX(MIN(AZ27,$J$5),$I$5)*(BT27*BM27/($K$5*1000))+$H$5*(BT27*BM27/($K$5*1000))*(BT27*BM27/($K$5*1000)))</f>
        <v>0</v>
      </c>
      <c r="Q27">
        <f>H27*(1000-(1000*0.61365*exp(17.502*U27/(240.97+U27))/(BM27+BN27)+BH27)/2)/(1000*0.61365*exp(17.502*U27/(240.97+U27))/(BM27+BN27)-BH27)</f>
        <v>0</v>
      </c>
      <c r="R27">
        <f>1/((BA27+1)/(O27/1.6)+1/(P27/1.37)) + BA27/((BA27+1)/(O27/1.6) + BA27/(P27/1.37))</f>
        <v>0</v>
      </c>
      <c r="S27">
        <f>(AV27*AY27)</f>
        <v>0</v>
      </c>
      <c r="T27">
        <f>(BO27+(S27+2*0.95*5.67E-8*(((BO27+$B$7)+273)^4-(BO27+273)^4)-44100*H27)/(1.84*29.3*P27+8*0.95*5.67E-8*(BO27+273)^3))</f>
        <v>0</v>
      </c>
      <c r="U27">
        <f>($C$7*BP27+$D$7*BQ27+$E$7*T27)</f>
        <v>0</v>
      </c>
      <c r="V27">
        <f>0.61365*exp(17.502*U27/(240.97+U27))</f>
        <v>0</v>
      </c>
      <c r="W27">
        <f>(X27/Y27*100)</f>
        <v>0</v>
      </c>
      <c r="X27">
        <f>BH27*(BM27+BN27)/1000</f>
        <v>0</v>
      </c>
      <c r="Y27">
        <f>0.61365*exp(17.502*BO27/(240.97+BO27))</f>
        <v>0</v>
      </c>
      <c r="Z27">
        <f>(V27-BH27*(BM27+BN27)/1000)</f>
        <v>0</v>
      </c>
      <c r="AA27">
        <f>(-H27*44100)</f>
        <v>0</v>
      </c>
      <c r="AB27">
        <f>2*29.3*P27*0.92*(BO27-U27)</f>
        <v>0</v>
      </c>
      <c r="AC27">
        <f>2*0.95*5.67E-8*(((BO27+$B$7)+273)^4-(U27+273)^4)</f>
        <v>0</v>
      </c>
      <c r="AD27">
        <f>S27+AC27+AA27+AB27</f>
        <v>0</v>
      </c>
      <c r="AE27">
        <f>BL27*AS27*(BG27-BF27*(1000-AS27*BI27)/(1000-AS27*BH27))/(100*AZ27)</f>
        <v>0</v>
      </c>
      <c r="AF27">
        <f>1000*BL27*AS27*(BH27-BI27)/(100*AZ27*(1000-AS27*BH27))</f>
        <v>0</v>
      </c>
      <c r="AG27">
        <f>(AH27 - AI27 - BM27*1E3/(8.314*(BO27+273.15)) * AK27/BL27 * AJ27) * BL27/(100*AZ27) * (1000 - BI27)/1000</f>
        <v>0</v>
      </c>
      <c r="AH27">
        <v>414.8093323437037</v>
      </c>
      <c r="AI27">
        <v>409.4030606060607</v>
      </c>
      <c r="AJ27">
        <v>9.946122920722408E-05</v>
      </c>
      <c r="AK27">
        <v>66.94169543611773</v>
      </c>
      <c r="AL27">
        <f>(AN27 - AM27 + BM27*1E3/(8.314*(BO27+273.15)) * AP27/BL27 * AO27) * BL27/(100*AZ27) * 1000/(1000 - AN27)</f>
        <v>0</v>
      </c>
      <c r="AM27">
        <v>23.67623511747845</v>
      </c>
      <c r="AN27">
        <v>25.47424181818181</v>
      </c>
      <c r="AO27">
        <v>0.0001309578118780252</v>
      </c>
      <c r="AP27">
        <v>79.66323599270896</v>
      </c>
      <c r="AQ27">
        <v>219</v>
      </c>
      <c r="AR27">
        <v>27</v>
      </c>
      <c r="AS27">
        <f>IF(AQ27*$H$13&gt;=AU27,1.0,(AU27/(AU27-AQ27*$H$13)))</f>
        <v>0</v>
      </c>
      <c r="AT27">
        <f>(AS27-1)*100</f>
        <v>0</v>
      </c>
      <c r="AU27">
        <f>MAX(0,($B$13+$C$13*BT27)/(1+$D$13*BT27)*BM27/(BO27+273)*$E$13)</f>
        <v>0</v>
      </c>
      <c r="AV27">
        <f>$B$11*BU27+$C$11*BV27+$F$11*CG27*(1-CJ27)</f>
        <v>0</v>
      </c>
      <c r="AW27">
        <f>AV27*AX27</f>
        <v>0</v>
      </c>
      <c r="AX27">
        <f>($B$11*$D$9+$C$11*$D$9+$F$11*((CT27+CL27)/MAX(CT27+CL27+CU27, 0.1)*$I$9+CU27/MAX(CT27+CL27+CU27, 0.1)*$J$9))/($B$11+$C$11+$F$11)</f>
        <v>0</v>
      </c>
      <c r="AY27">
        <f>($B$11*$K$9+$C$11*$K$9+$F$11*((CT27+CL27)/MAX(CT27+CL27+CU27, 0.1)*$P$9+CU27/MAX(CT27+CL27+CU27, 0.1)*$Q$9))/($B$11+$C$11+$F$11)</f>
        <v>0</v>
      </c>
      <c r="AZ27">
        <v>6</v>
      </c>
      <c r="BA27">
        <v>0.5</v>
      </c>
      <c r="BB27" t="s">
        <v>353</v>
      </c>
      <c r="BC27">
        <v>2</v>
      </c>
      <c r="BD27" t="b">
        <v>0</v>
      </c>
      <c r="BE27">
        <v>1750872795.25</v>
      </c>
      <c r="BF27">
        <v>398.9427333333333</v>
      </c>
      <c r="BG27">
        <v>404.9833333333333</v>
      </c>
      <c r="BH27">
        <v>25.45485333333333</v>
      </c>
      <c r="BI27">
        <v>23.66646666666667</v>
      </c>
      <c r="BJ27">
        <v>396.9227333333333</v>
      </c>
      <c r="BK27">
        <v>25.02371333333333</v>
      </c>
      <c r="BL27">
        <v>800.0151000000001</v>
      </c>
      <c r="BM27">
        <v>100.8244666666667</v>
      </c>
      <c r="BN27">
        <v>0.1000485966666667</v>
      </c>
      <c r="BO27">
        <v>31.69896666666667</v>
      </c>
      <c r="BP27">
        <v>31.51693</v>
      </c>
      <c r="BQ27">
        <v>999.9000000000002</v>
      </c>
      <c r="BR27">
        <v>0</v>
      </c>
      <c r="BS27">
        <v>0</v>
      </c>
      <c r="BT27">
        <v>10015.83833333333</v>
      </c>
      <c r="BU27">
        <v>0</v>
      </c>
      <c r="BV27">
        <v>0.001554103666666667</v>
      </c>
      <c r="BW27">
        <v>-6.019173333333334</v>
      </c>
      <c r="BX27">
        <v>409.3849666666667</v>
      </c>
      <c r="BY27">
        <v>414.8001333333333</v>
      </c>
      <c r="BZ27">
        <v>1.788391666666667</v>
      </c>
      <c r="CA27">
        <v>404.9833333333333</v>
      </c>
      <c r="CB27">
        <v>23.66646666666667</v>
      </c>
      <c r="CC27">
        <v>2.566473333333334</v>
      </c>
      <c r="CD27">
        <v>2.386159333333334</v>
      </c>
      <c r="CE27">
        <v>21.45429333333333</v>
      </c>
      <c r="CF27">
        <v>20.27015333333333</v>
      </c>
      <c r="CG27">
        <v>999.9842666666667</v>
      </c>
      <c r="CH27">
        <v>0.9599954333333331</v>
      </c>
      <c r="CI27">
        <v>0.04000466333333332</v>
      </c>
      <c r="CJ27">
        <v>0</v>
      </c>
      <c r="CK27">
        <v>0.3771666666666666</v>
      </c>
      <c r="CL27">
        <v>0</v>
      </c>
      <c r="CM27">
        <v>8683.365</v>
      </c>
      <c r="CN27">
        <v>7946.773666666666</v>
      </c>
      <c r="CO27">
        <v>37.06199999999999</v>
      </c>
      <c r="CP27">
        <v>39.95589999999999</v>
      </c>
      <c r="CQ27">
        <v>38.16219999999998</v>
      </c>
      <c r="CR27">
        <v>39.5</v>
      </c>
      <c r="CS27">
        <v>37.80786666666666</v>
      </c>
      <c r="CT27">
        <v>959.9796666666666</v>
      </c>
      <c r="CU27">
        <v>40.00233333333333</v>
      </c>
      <c r="CV27">
        <v>0</v>
      </c>
      <c r="CW27">
        <v>1750872820</v>
      </c>
      <c r="CX27">
        <v>0</v>
      </c>
      <c r="CY27">
        <v>1750872820</v>
      </c>
      <c r="CZ27" t="s">
        <v>390</v>
      </c>
      <c r="DA27">
        <v>1750872820</v>
      </c>
      <c r="DB27">
        <v>1750872225</v>
      </c>
      <c r="DC27">
        <v>11</v>
      </c>
      <c r="DD27">
        <v>-0.019</v>
      </c>
      <c r="DE27">
        <v>-0.014</v>
      </c>
      <c r="DF27">
        <v>2.02</v>
      </c>
      <c r="DG27">
        <v>0.365</v>
      </c>
      <c r="DH27">
        <v>405</v>
      </c>
      <c r="DI27">
        <v>24</v>
      </c>
      <c r="DJ27">
        <v>0.21</v>
      </c>
      <c r="DK27">
        <v>0.17</v>
      </c>
      <c r="DL27">
        <v>-6.01456525</v>
      </c>
      <c r="DM27">
        <v>-0.1413281425891185</v>
      </c>
      <c r="DN27">
        <v>0.02366082870352381</v>
      </c>
      <c r="DO27">
        <v>0</v>
      </c>
      <c r="DP27">
        <v>1.78511175</v>
      </c>
      <c r="DQ27">
        <v>0.05753414634145584</v>
      </c>
      <c r="DR27">
        <v>0.005564564622457001</v>
      </c>
      <c r="DS27">
        <v>1</v>
      </c>
      <c r="DT27">
        <v>1</v>
      </c>
      <c r="DU27">
        <v>2</v>
      </c>
      <c r="DV27" t="s">
        <v>365</v>
      </c>
      <c r="DW27">
        <v>3.45335</v>
      </c>
      <c r="DX27">
        <v>2.78097</v>
      </c>
      <c r="DY27">
        <v>0.0943891</v>
      </c>
      <c r="DZ27">
        <v>0.0958</v>
      </c>
      <c r="EA27">
        <v>0.121321</v>
      </c>
      <c r="EB27">
        <v>0.115128</v>
      </c>
      <c r="EC27">
        <v>27032.9</v>
      </c>
      <c r="ED27">
        <v>30783.4</v>
      </c>
      <c r="EE27">
        <v>29013.6</v>
      </c>
      <c r="EF27">
        <v>34655.3</v>
      </c>
      <c r="EG27">
        <v>29461.4</v>
      </c>
      <c r="EH27">
        <v>38064</v>
      </c>
      <c r="EI27">
        <v>35682</v>
      </c>
      <c r="EJ27">
        <v>45858</v>
      </c>
      <c r="EK27">
        <v>2.09805</v>
      </c>
      <c r="EL27">
        <v>2.1155</v>
      </c>
      <c r="EM27">
        <v>0.061579</v>
      </c>
      <c r="EN27">
        <v>0</v>
      </c>
      <c r="EO27">
        <v>30.5301</v>
      </c>
      <c r="EP27">
        <v>999.9</v>
      </c>
      <c r="EQ27">
        <v>70.5</v>
      </c>
      <c r="ER27">
        <v>28.6</v>
      </c>
      <c r="ES27">
        <v>27.4762</v>
      </c>
      <c r="ET27">
        <v>61.72</v>
      </c>
      <c r="EU27">
        <v>24.5433</v>
      </c>
      <c r="EV27">
        <v>2</v>
      </c>
      <c r="EW27">
        <v>0.189764</v>
      </c>
      <c r="EX27">
        <v>0</v>
      </c>
      <c r="EY27">
        <v>20.2895</v>
      </c>
      <c r="EZ27">
        <v>5.2107</v>
      </c>
      <c r="FA27">
        <v>11.974</v>
      </c>
      <c r="FB27">
        <v>4.9898</v>
      </c>
      <c r="FC27">
        <v>3.272</v>
      </c>
      <c r="FD27">
        <v>2994.1</v>
      </c>
      <c r="FE27">
        <v>9999</v>
      </c>
      <c r="FF27">
        <v>9999</v>
      </c>
      <c r="FG27">
        <v>999.9</v>
      </c>
      <c r="FH27">
        <v>4.97265</v>
      </c>
      <c r="FI27">
        <v>1.86304</v>
      </c>
      <c r="FJ27">
        <v>1.86493</v>
      </c>
      <c r="FK27">
        <v>1.8634</v>
      </c>
      <c r="FL27">
        <v>1.86332</v>
      </c>
      <c r="FM27">
        <v>1.86386</v>
      </c>
      <c r="FN27">
        <v>1.86035</v>
      </c>
      <c r="FO27">
        <v>1.8631</v>
      </c>
      <c r="FP27">
        <v>0</v>
      </c>
      <c r="FQ27">
        <v>0</v>
      </c>
      <c r="FR27">
        <v>0</v>
      </c>
      <c r="FS27">
        <v>0</v>
      </c>
      <c r="FT27" t="s">
        <v>356</v>
      </c>
      <c r="FU27" t="s">
        <v>357</v>
      </c>
      <c r="FV27" t="s">
        <v>358</v>
      </c>
      <c r="FW27" t="s">
        <v>358</v>
      </c>
      <c r="FX27" t="s">
        <v>358</v>
      </c>
      <c r="FY27" t="s">
        <v>358</v>
      </c>
      <c r="FZ27">
        <v>0</v>
      </c>
      <c r="GA27">
        <v>100</v>
      </c>
      <c r="GB27">
        <v>100</v>
      </c>
      <c r="GC27">
        <v>2.02</v>
      </c>
      <c r="GD27">
        <v>0.4321</v>
      </c>
      <c r="GE27">
        <v>2.322099947327348</v>
      </c>
      <c r="GF27">
        <v>-0.001033730503750798</v>
      </c>
      <c r="GG27">
        <v>9.120241388950126E-07</v>
      </c>
      <c r="GH27">
        <v>-2.246115299815222E-10</v>
      </c>
      <c r="GI27">
        <v>-0.125583133540816</v>
      </c>
      <c r="GJ27">
        <v>-0.01814858093373864</v>
      </c>
      <c r="GK27">
        <v>0.002091959988359369</v>
      </c>
      <c r="GL27">
        <v>-1.90871700788604E-05</v>
      </c>
      <c r="GM27">
        <v>2</v>
      </c>
      <c r="GN27">
        <v>2210</v>
      </c>
      <c r="GO27">
        <v>1</v>
      </c>
      <c r="GP27">
        <v>26</v>
      </c>
      <c r="GQ27">
        <v>2.3</v>
      </c>
      <c r="GR27">
        <v>9.6</v>
      </c>
      <c r="GS27">
        <v>1.27075</v>
      </c>
      <c r="GT27">
        <v>2.39502</v>
      </c>
      <c r="GU27">
        <v>2.34741</v>
      </c>
      <c r="GV27">
        <v>2.75269</v>
      </c>
      <c r="GW27">
        <v>2.39868</v>
      </c>
      <c r="GX27">
        <v>2.27783</v>
      </c>
      <c r="GY27">
        <v>34.9904</v>
      </c>
      <c r="GZ27">
        <v>13.6242</v>
      </c>
      <c r="HA27">
        <v>18</v>
      </c>
      <c r="HB27">
        <v>566.234</v>
      </c>
      <c r="HC27">
        <v>620.558</v>
      </c>
      <c r="HD27">
        <v>31.2057</v>
      </c>
      <c r="HE27">
        <v>30.2592</v>
      </c>
      <c r="HF27">
        <v>30.0005</v>
      </c>
      <c r="HG27">
        <v>30.0102</v>
      </c>
      <c r="HH27">
        <v>29.9432</v>
      </c>
      <c r="HI27">
        <v>25.4927</v>
      </c>
      <c r="HJ27">
        <v>21.9665</v>
      </c>
      <c r="HK27">
        <v>100</v>
      </c>
      <c r="HL27">
        <v>-999.9</v>
      </c>
      <c r="HM27">
        <v>405</v>
      </c>
      <c r="HN27">
        <v>23.7698</v>
      </c>
      <c r="HO27">
        <v>99.5645</v>
      </c>
      <c r="HP27">
        <v>100.146</v>
      </c>
    </row>
    <row r="28" spans="1:224">
      <c r="A28">
        <v>12</v>
      </c>
      <c r="B28">
        <v>1750872959.5</v>
      </c>
      <c r="C28">
        <v>1533.900000095367</v>
      </c>
      <c r="D28" t="s">
        <v>391</v>
      </c>
      <c r="E28" t="s">
        <v>392</v>
      </c>
      <c r="F28">
        <v>15</v>
      </c>
      <c r="G28">
        <v>1750872951.75</v>
      </c>
      <c r="H28">
        <f>(I28)/1000</f>
        <v>0</v>
      </c>
      <c r="I28">
        <f>IF(BD28, AL28, AF28)</f>
        <v>0</v>
      </c>
      <c r="J28">
        <f>IF(BD28, AG28, AE28)</f>
        <v>0</v>
      </c>
      <c r="K28">
        <f>BF28 - IF(AS28&gt;1, J28*AZ28*100.0/(AU28), 0)</f>
        <v>0</v>
      </c>
      <c r="L28">
        <f>((R28-H28/2)*K28-J28)/(R28+H28/2)</f>
        <v>0</v>
      </c>
      <c r="M28">
        <f>L28*(BM28+BN28)/1000.0</f>
        <v>0</v>
      </c>
      <c r="N28">
        <f>(BF28 - IF(AS28&gt;1, J28*AZ28*100.0/(AU28), 0))*(BM28+BN28)/1000.0</f>
        <v>0</v>
      </c>
      <c r="O28">
        <f>2.0/((1/Q28-1/P28)+SIGN(Q28)*SQRT((1/Q28-1/P28)*(1/Q28-1/P28) + 4*BA28/((BA28+1)*(BA28+1))*(2*1/Q28*1/P28-1/P28*1/P28)))</f>
        <v>0</v>
      </c>
      <c r="P28">
        <f>IF(LEFT(BB28,1)&lt;&gt;"0",IF(LEFT(BB28,1)="1",3.0,BC28),$D$5+$E$5*(BT28*BM28/($K$5*1000))+$F$5*(BT28*BM28/($K$5*1000))*MAX(MIN(AZ28,$J$5),$I$5)*MAX(MIN(AZ28,$J$5),$I$5)+$G$5*MAX(MIN(AZ28,$J$5),$I$5)*(BT28*BM28/($K$5*1000))+$H$5*(BT28*BM28/($K$5*1000))*(BT28*BM28/($K$5*1000)))</f>
        <v>0</v>
      </c>
      <c r="Q28">
        <f>H28*(1000-(1000*0.61365*exp(17.502*U28/(240.97+U28))/(BM28+BN28)+BH28)/2)/(1000*0.61365*exp(17.502*U28/(240.97+U28))/(BM28+BN28)-BH28)</f>
        <v>0</v>
      </c>
      <c r="R28">
        <f>1/((BA28+1)/(O28/1.6)+1/(P28/1.37)) + BA28/((BA28+1)/(O28/1.6) + BA28/(P28/1.37))</f>
        <v>0</v>
      </c>
      <c r="S28">
        <f>(AV28*AY28)</f>
        <v>0</v>
      </c>
      <c r="T28">
        <f>(BO28+(S28+2*0.95*5.67E-8*(((BO28+$B$7)+273)^4-(BO28+273)^4)-44100*H28)/(1.84*29.3*P28+8*0.95*5.67E-8*(BO28+273)^3))</f>
        <v>0</v>
      </c>
      <c r="U28">
        <f>($C$7*BP28+$D$7*BQ28+$E$7*T28)</f>
        <v>0</v>
      </c>
      <c r="V28">
        <f>0.61365*exp(17.502*U28/(240.97+U28))</f>
        <v>0</v>
      </c>
      <c r="W28">
        <f>(X28/Y28*100)</f>
        <v>0</v>
      </c>
      <c r="X28">
        <f>BH28*(BM28+BN28)/1000</f>
        <v>0</v>
      </c>
      <c r="Y28">
        <f>0.61365*exp(17.502*BO28/(240.97+BO28))</f>
        <v>0</v>
      </c>
      <c r="Z28">
        <f>(V28-BH28*(BM28+BN28)/1000)</f>
        <v>0</v>
      </c>
      <c r="AA28">
        <f>(-H28*44100)</f>
        <v>0</v>
      </c>
      <c r="AB28">
        <f>2*29.3*P28*0.92*(BO28-U28)</f>
        <v>0</v>
      </c>
      <c r="AC28">
        <f>2*0.95*5.67E-8*(((BO28+$B$7)+273)^4-(U28+273)^4)</f>
        <v>0</v>
      </c>
      <c r="AD28">
        <f>S28+AC28+AA28+AB28</f>
        <v>0</v>
      </c>
      <c r="AE28">
        <f>BL28*AS28*(BG28-BF28*(1000-AS28*BI28)/(1000-AS28*BH28))/(100*AZ28)</f>
        <v>0</v>
      </c>
      <c r="AF28">
        <f>1000*BL28*AS28*(BH28-BI28)/(100*AZ28*(1000-AS28*BH28))</f>
        <v>0</v>
      </c>
      <c r="AG28">
        <f>(AH28 - AI28 - BM28*1E3/(8.314*(BO28+273.15)) * AK28/BL28 * AJ28) * BL28/(100*AZ28) * (1000 - BI28)/1000</f>
        <v>0</v>
      </c>
      <c r="AH28">
        <v>415.3749489010809</v>
      </c>
      <c r="AI28">
        <v>413.696018181818</v>
      </c>
      <c r="AJ28">
        <v>0.00121702512872495</v>
      </c>
      <c r="AK28">
        <v>66.94120033017377</v>
      </c>
      <c r="AL28">
        <f>(AN28 - AM28 + BM28*1E3/(8.314*(BO28+273.15)) * AP28/BL28 * AO28) * BL28/(100*AZ28) * 1000/(1000 - AN28)</f>
        <v>0</v>
      </c>
      <c r="AM28">
        <v>25.01401243907856</v>
      </c>
      <c r="AN28">
        <v>25.9457096969697</v>
      </c>
      <c r="AO28">
        <v>0.0001154971732317817</v>
      </c>
      <c r="AP28">
        <v>79.68510801254817</v>
      </c>
      <c r="AQ28">
        <v>31</v>
      </c>
      <c r="AR28">
        <v>4</v>
      </c>
      <c r="AS28">
        <f>IF(AQ28*$H$13&gt;=AU28,1.0,(AU28/(AU28-AQ28*$H$13)))</f>
        <v>0</v>
      </c>
      <c r="AT28">
        <f>(AS28-1)*100</f>
        <v>0</v>
      </c>
      <c r="AU28">
        <f>MAX(0,($B$13+$C$13*BT28)/(1+$D$13*BT28)*BM28/(BO28+273)*$E$13)</f>
        <v>0</v>
      </c>
      <c r="AV28">
        <f>$B$11*BU28+$C$11*BV28+$F$11*CG28*(1-CJ28)</f>
        <v>0</v>
      </c>
      <c r="AW28">
        <f>AV28*AX28</f>
        <v>0</v>
      </c>
      <c r="AX28">
        <f>($B$11*$D$9+$C$11*$D$9+$F$11*((CT28+CL28)/MAX(CT28+CL28+CU28, 0.1)*$I$9+CU28/MAX(CT28+CL28+CU28, 0.1)*$J$9))/($B$11+$C$11+$F$11)</f>
        <v>0</v>
      </c>
      <c r="AY28">
        <f>($B$11*$K$9+$C$11*$K$9+$F$11*((CT28+CL28)/MAX(CT28+CL28+CU28, 0.1)*$P$9+CU28/MAX(CT28+CL28+CU28, 0.1)*$Q$9))/($B$11+$C$11+$F$11)</f>
        <v>0</v>
      </c>
      <c r="AZ28">
        <v>6</v>
      </c>
      <c r="BA28">
        <v>0.5</v>
      </c>
      <c r="BB28" t="s">
        <v>353</v>
      </c>
      <c r="BC28">
        <v>2</v>
      </c>
      <c r="BD28" t="b">
        <v>0</v>
      </c>
      <c r="BE28">
        <v>1750872951.75</v>
      </c>
      <c r="BF28">
        <v>402.9356666666666</v>
      </c>
      <c r="BG28">
        <v>404.9853666666667</v>
      </c>
      <c r="BH28">
        <v>25.85148</v>
      </c>
      <c r="BI28">
        <v>25.00534333333333</v>
      </c>
      <c r="BJ28">
        <v>400.9476666666666</v>
      </c>
      <c r="BK28">
        <v>25.48048</v>
      </c>
      <c r="BL28">
        <v>800.0182000000001</v>
      </c>
      <c r="BM28">
        <v>100.8192333333333</v>
      </c>
      <c r="BN28">
        <v>0.09985357333333335</v>
      </c>
      <c r="BO28">
        <v>32.00318333333333</v>
      </c>
      <c r="BP28">
        <v>31.51049333333333</v>
      </c>
      <c r="BQ28">
        <v>999.9000000000002</v>
      </c>
      <c r="BR28">
        <v>0</v>
      </c>
      <c r="BS28">
        <v>0</v>
      </c>
      <c r="BT28">
        <v>10000.545</v>
      </c>
      <c r="BU28">
        <v>0</v>
      </c>
      <c r="BV28">
        <v>0.001558562666666667</v>
      </c>
      <c r="BW28">
        <v>-2.016673</v>
      </c>
      <c r="BX28">
        <v>413.6979666666667</v>
      </c>
      <c r="BY28">
        <v>415.3719</v>
      </c>
      <c r="BZ28">
        <v>0.9295667333333334</v>
      </c>
      <c r="CA28">
        <v>404.9853666666667</v>
      </c>
      <c r="CB28">
        <v>25.00534333333333</v>
      </c>
      <c r="CC28">
        <v>2.614738999999999</v>
      </c>
      <c r="CD28">
        <v>2.521020333333333</v>
      </c>
      <c r="CE28">
        <v>21.75888333333333</v>
      </c>
      <c r="CF28">
        <v>21.16285333333333</v>
      </c>
      <c r="CG28">
        <v>999.9965666666666</v>
      </c>
      <c r="CH28">
        <v>0.9599924666666669</v>
      </c>
      <c r="CI28">
        <v>0.04000789666666666</v>
      </c>
      <c r="CJ28">
        <v>0</v>
      </c>
      <c r="CK28">
        <v>1.4665</v>
      </c>
      <c r="CL28">
        <v>0</v>
      </c>
      <c r="CM28">
        <v>6395.648</v>
      </c>
      <c r="CN28">
        <v>7946.855666666666</v>
      </c>
      <c r="CO28">
        <v>37.25</v>
      </c>
      <c r="CP28">
        <v>40.25</v>
      </c>
      <c r="CQ28">
        <v>38.37913333333333</v>
      </c>
      <c r="CR28">
        <v>39.68286666666665</v>
      </c>
      <c r="CS28">
        <v>38</v>
      </c>
      <c r="CT28">
        <v>959.9889999999998</v>
      </c>
      <c r="CU28">
        <v>40.01</v>
      </c>
      <c r="CV28">
        <v>0</v>
      </c>
      <c r="CW28">
        <v>1750872976.6</v>
      </c>
      <c r="CX28">
        <v>0</v>
      </c>
      <c r="CY28">
        <v>1750872980.5</v>
      </c>
      <c r="CZ28" t="s">
        <v>393</v>
      </c>
      <c r="DA28">
        <v>1750872976.5</v>
      </c>
      <c r="DB28">
        <v>1750872980.5</v>
      </c>
      <c r="DC28">
        <v>12</v>
      </c>
      <c r="DD28">
        <v>-0.032</v>
      </c>
      <c r="DE28">
        <v>-0.043</v>
      </c>
      <c r="DF28">
        <v>1.988</v>
      </c>
      <c r="DG28">
        <v>0.371</v>
      </c>
      <c r="DH28">
        <v>405</v>
      </c>
      <c r="DI28">
        <v>25</v>
      </c>
      <c r="DJ28">
        <v>0.25</v>
      </c>
      <c r="DK28">
        <v>0.14</v>
      </c>
      <c r="DL28">
        <v>-2.019577560975609</v>
      </c>
      <c r="DM28">
        <v>0.03417783972124919</v>
      </c>
      <c r="DN28">
        <v>0.02101643651543379</v>
      </c>
      <c r="DO28">
        <v>1</v>
      </c>
      <c r="DP28">
        <v>0.9280698292682925</v>
      </c>
      <c r="DQ28">
        <v>0.02344810452961847</v>
      </c>
      <c r="DR28">
        <v>0.007400478761382943</v>
      </c>
      <c r="DS28">
        <v>1</v>
      </c>
      <c r="DT28">
        <v>2</v>
      </c>
      <c r="DU28">
        <v>2</v>
      </c>
      <c r="DV28" t="s">
        <v>372</v>
      </c>
      <c r="DW28">
        <v>3.45417</v>
      </c>
      <c r="DX28">
        <v>2.78079</v>
      </c>
      <c r="DY28">
        <v>0.09506870000000001</v>
      </c>
      <c r="DZ28">
        <v>0.09575549999999999</v>
      </c>
      <c r="EA28">
        <v>0.122768</v>
      </c>
      <c r="EB28">
        <v>0.119504</v>
      </c>
      <c r="EC28">
        <v>27003.7</v>
      </c>
      <c r="ED28">
        <v>30774</v>
      </c>
      <c r="EE28">
        <v>29004.7</v>
      </c>
      <c r="EF28">
        <v>34643.9</v>
      </c>
      <c r="EG28">
        <v>29404.4</v>
      </c>
      <c r="EH28">
        <v>37863.5</v>
      </c>
      <c r="EI28">
        <v>35671.1</v>
      </c>
      <c r="EJ28">
        <v>45842.9</v>
      </c>
      <c r="EK28">
        <v>2.39298</v>
      </c>
      <c r="EL28">
        <v>2.11092</v>
      </c>
      <c r="EM28">
        <v>0.0436082</v>
      </c>
      <c r="EN28">
        <v>0</v>
      </c>
      <c r="EO28">
        <v>30.8236</v>
      </c>
      <c r="EP28">
        <v>999.9</v>
      </c>
      <c r="EQ28">
        <v>69.8</v>
      </c>
      <c r="ER28">
        <v>29</v>
      </c>
      <c r="ES28">
        <v>27.8437</v>
      </c>
      <c r="ET28">
        <v>62.0201</v>
      </c>
      <c r="EU28">
        <v>24.4231</v>
      </c>
      <c r="EV28">
        <v>2</v>
      </c>
      <c r="EW28">
        <v>0.207325</v>
      </c>
      <c r="EX28">
        <v>0</v>
      </c>
      <c r="EY28">
        <v>20.2895</v>
      </c>
      <c r="EZ28">
        <v>5.21055</v>
      </c>
      <c r="FA28">
        <v>11.974</v>
      </c>
      <c r="FB28">
        <v>4.9893</v>
      </c>
      <c r="FC28">
        <v>3.272</v>
      </c>
      <c r="FD28">
        <v>2998.9</v>
      </c>
      <c r="FE28">
        <v>9999</v>
      </c>
      <c r="FF28">
        <v>9999</v>
      </c>
      <c r="FG28">
        <v>999.9</v>
      </c>
      <c r="FH28">
        <v>4.97266</v>
      </c>
      <c r="FI28">
        <v>1.86307</v>
      </c>
      <c r="FJ28">
        <v>1.86493</v>
      </c>
      <c r="FK28">
        <v>1.8634</v>
      </c>
      <c r="FL28">
        <v>1.86337</v>
      </c>
      <c r="FM28">
        <v>1.86386</v>
      </c>
      <c r="FN28">
        <v>1.86035</v>
      </c>
      <c r="FO28">
        <v>1.86311</v>
      </c>
      <c r="FP28">
        <v>0</v>
      </c>
      <c r="FQ28">
        <v>0</v>
      </c>
      <c r="FR28">
        <v>0</v>
      </c>
      <c r="FS28">
        <v>0</v>
      </c>
      <c r="FT28" t="s">
        <v>356</v>
      </c>
      <c r="FU28" t="s">
        <v>357</v>
      </c>
      <c r="FV28" t="s">
        <v>358</v>
      </c>
      <c r="FW28" t="s">
        <v>358</v>
      </c>
      <c r="FX28" t="s">
        <v>358</v>
      </c>
      <c r="FY28" t="s">
        <v>358</v>
      </c>
      <c r="FZ28">
        <v>0</v>
      </c>
      <c r="GA28">
        <v>100</v>
      </c>
      <c r="GB28">
        <v>100</v>
      </c>
      <c r="GC28">
        <v>1.988</v>
      </c>
      <c r="GD28">
        <v>0.371</v>
      </c>
      <c r="GE28">
        <v>2.303332615606473</v>
      </c>
      <c r="GF28">
        <v>-0.001033730503750798</v>
      </c>
      <c r="GG28">
        <v>9.120241388950126E-07</v>
      </c>
      <c r="GH28">
        <v>-2.246115299815222E-10</v>
      </c>
      <c r="GI28">
        <v>-0.125583133540816</v>
      </c>
      <c r="GJ28">
        <v>-0.01814858093373864</v>
      </c>
      <c r="GK28">
        <v>0.002091959988359369</v>
      </c>
      <c r="GL28">
        <v>-1.90871700788604E-05</v>
      </c>
      <c r="GM28">
        <v>2</v>
      </c>
      <c r="GN28">
        <v>2210</v>
      </c>
      <c r="GO28">
        <v>1</v>
      </c>
      <c r="GP28">
        <v>26</v>
      </c>
      <c r="GQ28">
        <v>2.3</v>
      </c>
      <c r="GR28">
        <v>12.2</v>
      </c>
      <c r="GS28">
        <v>1.27319</v>
      </c>
      <c r="GT28">
        <v>2.39868</v>
      </c>
      <c r="GU28">
        <v>2.34741</v>
      </c>
      <c r="GV28">
        <v>2.75024</v>
      </c>
      <c r="GW28">
        <v>2.39868</v>
      </c>
      <c r="GX28">
        <v>2.29736</v>
      </c>
      <c r="GY28">
        <v>35.2902</v>
      </c>
      <c r="GZ28">
        <v>13.5892</v>
      </c>
      <c r="HA28">
        <v>18</v>
      </c>
      <c r="HB28">
        <v>794.474</v>
      </c>
      <c r="HC28">
        <v>619.239</v>
      </c>
      <c r="HD28">
        <v>31.4587</v>
      </c>
      <c r="HE28">
        <v>30.481</v>
      </c>
      <c r="HF28">
        <v>30.0005</v>
      </c>
      <c r="HG28">
        <v>30.2227</v>
      </c>
      <c r="HH28">
        <v>30.1656</v>
      </c>
      <c r="HI28">
        <v>25.5311</v>
      </c>
      <c r="HJ28">
        <v>18.0896</v>
      </c>
      <c r="HK28">
        <v>100</v>
      </c>
      <c r="HL28">
        <v>-999.9</v>
      </c>
      <c r="HM28">
        <v>405</v>
      </c>
      <c r="HN28">
        <v>24.9588</v>
      </c>
      <c r="HO28">
        <v>99.53400000000001</v>
      </c>
      <c r="HP28">
        <v>100.113</v>
      </c>
    </row>
    <row r="29" spans="1:224">
      <c r="A29">
        <v>13</v>
      </c>
      <c r="B29">
        <v>1750873092</v>
      </c>
      <c r="C29">
        <v>1666.400000095367</v>
      </c>
      <c r="D29" t="s">
        <v>394</v>
      </c>
      <c r="E29" t="s">
        <v>395</v>
      </c>
      <c r="F29">
        <v>15</v>
      </c>
      <c r="G29">
        <v>1750873084.25</v>
      </c>
      <c r="H29">
        <f>(I29)/1000</f>
        <v>0</v>
      </c>
      <c r="I29">
        <f>IF(BD29, AL29, AF29)</f>
        <v>0</v>
      </c>
      <c r="J29">
        <f>IF(BD29, AG29, AE29)</f>
        <v>0</v>
      </c>
      <c r="K29">
        <f>BF29 - IF(AS29&gt;1, J29*AZ29*100.0/(AU29), 0)</f>
        <v>0</v>
      </c>
      <c r="L29">
        <f>((R29-H29/2)*K29-J29)/(R29+H29/2)</f>
        <v>0</v>
      </c>
      <c r="M29">
        <f>L29*(BM29+BN29)/1000.0</f>
        <v>0</v>
      </c>
      <c r="N29">
        <f>(BF29 - IF(AS29&gt;1, J29*AZ29*100.0/(AU29), 0))*(BM29+BN29)/1000.0</f>
        <v>0</v>
      </c>
      <c r="O29">
        <f>2.0/((1/Q29-1/P29)+SIGN(Q29)*SQRT((1/Q29-1/P29)*(1/Q29-1/P29) + 4*BA29/((BA29+1)*(BA29+1))*(2*1/Q29*1/P29-1/P29*1/P29)))</f>
        <v>0</v>
      </c>
      <c r="P29">
        <f>IF(LEFT(BB29,1)&lt;&gt;"0",IF(LEFT(BB29,1)="1",3.0,BC29),$D$5+$E$5*(BT29*BM29/($K$5*1000))+$F$5*(BT29*BM29/($K$5*1000))*MAX(MIN(AZ29,$J$5),$I$5)*MAX(MIN(AZ29,$J$5),$I$5)+$G$5*MAX(MIN(AZ29,$J$5),$I$5)*(BT29*BM29/($K$5*1000))+$H$5*(BT29*BM29/($K$5*1000))*(BT29*BM29/($K$5*1000)))</f>
        <v>0</v>
      </c>
      <c r="Q29">
        <f>H29*(1000-(1000*0.61365*exp(17.502*U29/(240.97+U29))/(BM29+BN29)+BH29)/2)/(1000*0.61365*exp(17.502*U29/(240.97+U29))/(BM29+BN29)-BH29)</f>
        <v>0</v>
      </c>
      <c r="R29">
        <f>1/((BA29+1)/(O29/1.6)+1/(P29/1.37)) + BA29/((BA29+1)/(O29/1.6) + BA29/(P29/1.37))</f>
        <v>0</v>
      </c>
      <c r="S29">
        <f>(AV29*AY29)</f>
        <v>0</v>
      </c>
      <c r="T29">
        <f>(BO29+(S29+2*0.95*5.67E-8*(((BO29+$B$7)+273)^4-(BO29+273)^4)-44100*H29)/(1.84*29.3*P29+8*0.95*5.67E-8*(BO29+273)^3))</f>
        <v>0</v>
      </c>
      <c r="U29">
        <f>($C$7*BP29+$D$7*BQ29+$E$7*T29)</f>
        <v>0</v>
      </c>
      <c r="V29">
        <f>0.61365*exp(17.502*U29/(240.97+U29))</f>
        <v>0</v>
      </c>
      <c r="W29">
        <f>(X29/Y29*100)</f>
        <v>0</v>
      </c>
      <c r="X29">
        <f>BH29*(BM29+BN29)/1000</f>
        <v>0</v>
      </c>
      <c r="Y29">
        <f>0.61365*exp(17.502*BO29/(240.97+BO29))</f>
        <v>0</v>
      </c>
      <c r="Z29">
        <f>(V29-BH29*(BM29+BN29)/1000)</f>
        <v>0</v>
      </c>
      <c r="AA29">
        <f>(-H29*44100)</f>
        <v>0</v>
      </c>
      <c r="AB29">
        <f>2*29.3*P29*0.92*(BO29-U29)</f>
        <v>0</v>
      </c>
      <c r="AC29">
        <f>2*0.95*5.67E-8*(((BO29+$B$7)+273)^4-(U29+273)^4)</f>
        <v>0</v>
      </c>
      <c r="AD29">
        <f>S29+AC29+AA29+AB29</f>
        <v>0</v>
      </c>
      <c r="AE29">
        <f>BL29*AS29*(BG29-BF29*(1000-AS29*BI29)/(1000-AS29*BH29))/(100*AZ29)</f>
        <v>0</v>
      </c>
      <c r="AF29">
        <f>1000*BL29*AS29*(BH29-BI29)/(100*AZ29*(1000-AS29*BH29))</f>
        <v>0</v>
      </c>
      <c r="AG29">
        <f>(AH29 - AI29 - BM29*1E3/(8.314*(BO29+273.15)) * AK29/BL29 * AJ29) * BL29/(100*AZ29) * (1000 - BI29)/1000</f>
        <v>0</v>
      </c>
      <c r="AH29">
        <v>415.1206723893151</v>
      </c>
      <c r="AI29">
        <v>409.2249636363636</v>
      </c>
      <c r="AJ29">
        <v>0.00832964611218589</v>
      </c>
      <c r="AK29">
        <v>66.94062929166874</v>
      </c>
      <c r="AL29">
        <f>(AN29 - AM29 + BM29*1E3/(8.314*(BO29+273.15)) * AP29/BL29 * AO29) * BL29/(100*AZ29) * 1000/(1000 - AN29)</f>
        <v>0</v>
      </c>
      <c r="AM29">
        <v>24.42195683748009</v>
      </c>
      <c r="AN29">
        <v>26.09982545454547</v>
      </c>
      <c r="AO29">
        <v>0.0001854029166485872</v>
      </c>
      <c r="AP29">
        <v>79.76356244981274</v>
      </c>
      <c r="AQ29">
        <v>103</v>
      </c>
      <c r="AR29">
        <v>13</v>
      </c>
      <c r="AS29">
        <f>IF(AQ29*$H$13&gt;=AU29,1.0,(AU29/(AU29-AQ29*$H$13)))</f>
        <v>0</v>
      </c>
      <c r="AT29">
        <f>(AS29-1)*100</f>
        <v>0</v>
      </c>
      <c r="AU29">
        <f>MAX(0,($B$13+$C$13*BT29)/(1+$D$13*BT29)*BM29/(BO29+273)*$E$13)</f>
        <v>0</v>
      </c>
      <c r="AV29">
        <f>$B$11*BU29+$C$11*BV29+$F$11*CG29*(1-CJ29)</f>
        <v>0</v>
      </c>
      <c r="AW29">
        <f>AV29*AX29</f>
        <v>0</v>
      </c>
      <c r="AX29">
        <f>($B$11*$D$9+$C$11*$D$9+$F$11*((CT29+CL29)/MAX(CT29+CL29+CU29, 0.1)*$I$9+CU29/MAX(CT29+CL29+CU29, 0.1)*$J$9))/($B$11+$C$11+$F$11)</f>
        <v>0</v>
      </c>
      <c r="AY29">
        <f>($B$11*$K$9+$C$11*$K$9+$F$11*((CT29+CL29)/MAX(CT29+CL29+CU29, 0.1)*$P$9+CU29/MAX(CT29+CL29+CU29, 0.1)*$Q$9))/($B$11+$C$11+$F$11)</f>
        <v>0</v>
      </c>
      <c r="AZ29">
        <v>6</v>
      </c>
      <c r="BA29">
        <v>0.5</v>
      </c>
      <c r="BB29" t="s">
        <v>353</v>
      </c>
      <c r="BC29">
        <v>2</v>
      </c>
      <c r="BD29" t="b">
        <v>0</v>
      </c>
      <c r="BE29">
        <v>1750873084.25</v>
      </c>
      <c r="BF29">
        <v>398.5259</v>
      </c>
      <c r="BG29">
        <v>404.9849333333333</v>
      </c>
      <c r="BH29">
        <v>26.08016</v>
      </c>
      <c r="BI29">
        <v>24.40976</v>
      </c>
      <c r="BJ29">
        <v>396.4919</v>
      </c>
      <c r="BK29">
        <v>25.65955333333333</v>
      </c>
      <c r="BL29">
        <v>800.0191</v>
      </c>
      <c r="BM29">
        <v>100.8164333333334</v>
      </c>
      <c r="BN29">
        <v>0.1003345133333333</v>
      </c>
      <c r="BO29">
        <v>32.13971666666666</v>
      </c>
      <c r="BP29">
        <v>31.87595666666666</v>
      </c>
      <c r="BQ29">
        <v>999.9000000000002</v>
      </c>
      <c r="BR29">
        <v>0</v>
      </c>
      <c r="BS29">
        <v>0</v>
      </c>
      <c r="BT29">
        <v>10004.45666666667</v>
      </c>
      <c r="BU29">
        <v>0</v>
      </c>
      <c r="BV29">
        <v>0.00152894</v>
      </c>
      <c r="BW29">
        <v>-6.502037333333333</v>
      </c>
      <c r="BX29">
        <v>409.1537666666666</v>
      </c>
      <c r="BY29">
        <v>415.1178666666667</v>
      </c>
      <c r="BZ29">
        <v>1.670404333333334</v>
      </c>
      <c r="CA29">
        <v>404.9849333333333</v>
      </c>
      <c r="CB29">
        <v>24.40976</v>
      </c>
      <c r="CC29">
        <v>2.629311</v>
      </c>
      <c r="CD29">
        <v>2.460906333333334</v>
      </c>
      <c r="CE29">
        <v>21.84988000000001</v>
      </c>
      <c r="CF29">
        <v>20.77022333333333</v>
      </c>
      <c r="CG29">
        <v>999.9930999999999</v>
      </c>
      <c r="CH29">
        <v>0.9599990666666669</v>
      </c>
      <c r="CI29">
        <v>0.04000053666666666</v>
      </c>
      <c r="CJ29">
        <v>0</v>
      </c>
      <c r="CK29">
        <v>-0.1905</v>
      </c>
      <c r="CL29">
        <v>0</v>
      </c>
      <c r="CM29">
        <v>9300.089333333333</v>
      </c>
      <c r="CN29">
        <v>7946.857333333333</v>
      </c>
      <c r="CO29">
        <v>37.5</v>
      </c>
      <c r="CP29">
        <v>40.50413333333334</v>
      </c>
      <c r="CQ29">
        <v>38.625</v>
      </c>
      <c r="CR29">
        <v>39.9727</v>
      </c>
      <c r="CS29">
        <v>38.2374</v>
      </c>
      <c r="CT29">
        <v>959.9926666666667</v>
      </c>
      <c r="CU29">
        <v>40</v>
      </c>
      <c r="CV29">
        <v>0</v>
      </c>
      <c r="CW29">
        <v>1750873108.6</v>
      </c>
      <c r="CX29">
        <v>0</v>
      </c>
      <c r="CY29">
        <v>1750873109</v>
      </c>
      <c r="CZ29" t="s">
        <v>396</v>
      </c>
      <c r="DA29">
        <v>1750873109</v>
      </c>
      <c r="DB29">
        <v>1750872980.5</v>
      </c>
      <c r="DC29">
        <v>13</v>
      </c>
      <c r="DD29">
        <v>0.045</v>
      </c>
      <c r="DE29">
        <v>-0.043</v>
      </c>
      <c r="DF29">
        <v>2.034</v>
      </c>
      <c r="DG29">
        <v>0.371</v>
      </c>
      <c r="DH29">
        <v>405</v>
      </c>
      <c r="DI29">
        <v>25</v>
      </c>
      <c r="DJ29">
        <v>0.18</v>
      </c>
      <c r="DK29">
        <v>0.14</v>
      </c>
      <c r="DL29">
        <v>-6.508430250000001</v>
      </c>
      <c r="DM29">
        <v>0.2250041651032033</v>
      </c>
      <c r="DN29">
        <v>0.0304869766037483</v>
      </c>
      <c r="DO29">
        <v>0</v>
      </c>
      <c r="DP29">
        <v>1.6714075</v>
      </c>
      <c r="DQ29">
        <v>-0.007943864915572122</v>
      </c>
      <c r="DR29">
        <v>0.002647298387035353</v>
      </c>
      <c r="DS29">
        <v>1</v>
      </c>
      <c r="DT29">
        <v>1</v>
      </c>
      <c r="DU29">
        <v>2</v>
      </c>
      <c r="DV29" t="s">
        <v>365</v>
      </c>
      <c r="DW29">
        <v>3.45391</v>
      </c>
      <c r="DX29">
        <v>2.78067</v>
      </c>
      <c r="DY29">
        <v>0.0942149</v>
      </c>
      <c r="DZ29">
        <v>0.0956936</v>
      </c>
      <c r="EA29">
        <v>0.123334</v>
      </c>
      <c r="EB29">
        <v>0.1175</v>
      </c>
      <c r="EC29">
        <v>27020.8</v>
      </c>
      <c r="ED29">
        <v>30767.6</v>
      </c>
      <c r="EE29">
        <v>28996.3</v>
      </c>
      <c r="EF29">
        <v>34635.2</v>
      </c>
      <c r="EG29">
        <v>29377.3</v>
      </c>
      <c r="EH29">
        <v>37940.5</v>
      </c>
      <c r="EI29">
        <v>35660.4</v>
      </c>
      <c r="EJ29">
        <v>45831.4</v>
      </c>
      <c r="EK29">
        <v>2.2843</v>
      </c>
      <c r="EL29">
        <v>2.10352</v>
      </c>
      <c r="EM29">
        <v>0.0588372</v>
      </c>
      <c r="EN29">
        <v>0</v>
      </c>
      <c r="EO29">
        <v>30.9248</v>
      </c>
      <c r="EP29">
        <v>999.9</v>
      </c>
      <c r="EQ29">
        <v>69.3</v>
      </c>
      <c r="ER29">
        <v>29.3</v>
      </c>
      <c r="ES29">
        <v>28.1274</v>
      </c>
      <c r="ET29">
        <v>61.8901</v>
      </c>
      <c r="EU29">
        <v>24.4271</v>
      </c>
      <c r="EV29">
        <v>2</v>
      </c>
      <c r="EW29">
        <v>0.223018</v>
      </c>
      <c r="EX29">
        <v>0</v>
      </c>
      <c r="EY29">
        <v>20.2894</v>
      </c>
      <c r="EZ29">
        <v>5.20935</v>
      </c>
      <c r="FA29">
        <v>11.974</v>
      </c>
      <c r="FB29">
        <v>4.98955</v>
      </c>
      <c r="FC29">
        <v>3.272</v>
      </c>
      <c r="FD29">
        <v>3002.6</v>
      </c>
      <c r="FE29">
        <v>9999</v>
      </c>
      <c r="FF29">
        <v>9999</v>
      </c>
      <c r="FG29">
        <v>999.9</v>
      </c>
      <c r="FH29">
        <v>4.97272</v>
      </c>
      <c r="FI29">
        <v>1.8631</v>
      </c>
      <c r="FJ29">
        <v>1.86496</v>
      </c>
      <c r="FK29">
        <v>1.8634</v>
      </c>
      <c r="FL29">
        <v>1.8634</v>
      </c>
      <c r="FM29">
        <v>1.86386</v>
      </c>
      <c r="FN29">
        <v>1.86035</v>
      </c>
      <c r="FO29">
        <v>1.86315</v>
      </c>
      <c r="FP29">
        <v>0</v>
      </c>
      <c r="FQ29">
        <v>0</v>
      </c>
      <c r="FR29">
        <v>0</v>
      </c>
      <c r="FS29">
        <v>0</v>
      </c>
      <c r="FT29" t="s">
        <v>356</v>
      </c>
      <c r="FU29" t="s">
        <v>357</v>
      </c>
      <c r="FV29" t="s">
        <v>358</v>
      </c>
      <c r="FW29" t="s">
        <v>358</v>
      </c>
      <c r="FX29" t="s">
        <v>358</v>
      </c>
      <c r="FY29" t="s">
        <v>358</v>
      </c>
      <c r="FZ29">
        <v>0</v>
      </c>
      <c r="GA29">
        <v>100</v>
      </c>
      <c r="GB29">
        <v>100</v>
      </c>
      <c r="GC29">
        <v>2.034</v>
      </c>
      <c r="GD29">
        <v>0.4216</v>
      </c>
      <c r="GE29">
        <v>2.271580860991924</v>
      </c>
      <c r="GF29">
        <v>-0.001033730503750798</v>
      </c>
      <c r="GG29">
        <v>9.120241388950126E-07</v>
      </c>
      <c r="GH29">
        <v>-2.246115299815222E-10</v>
      </c>
      <c r="GI29">
        <v>-0.1686139623058464</v>
      </c>
      <c r="GJ29">
        <v>-0.01814858093373864</v>
      </c>
      <c r="GK29">
        <v>0.002091959988359369</v>
      </c>
      <c r="GL29">
        <v>-1.90871700788604E-05</v>
      </c>
      <c r="GM29">
        <v>2</v>
      </c>
      <c r="GN29">
        <v>2210</v>
      </c>
      <c r="GO29">
        <v>1</v>
      </c>
      <c r="GP29">
        <v>26</v>
      </c>
      <c r="GQ29">
        <v>1.9</v>
      </c>
      <c r="GR29">
        <v>1.9</v>
      </c>
      <c r="GS29">
        <v>1.27319</v>
      </c>
      <c r="GT29">
        <v>2.3999</v>
      </c>
      <c r="GU29">
        <v>2.34741</v>
      </c>
      <c r="GV29">
        <v>2.74536</v>
      </c>
      <c r="GW29">
        <v>2.39868</v>
      </c>
      <c r="GX29">
        <v>2.28027</v>
      </c>
      <c r="GY29">
        <v>35.5683</v>
      </c>
      <c r="GZ29">
        <v>13.5629</v>
      </c>
      <c r="HA29">
        <v>18</v>
      </c>
      <c r="HB29">
        <v>706.27</v>
      </c>
      <c r="HC29">
        <v>615.359</v>
      </c>
      <c r="HD29">
        <v>31.6632</v>
      </c>
      <c r="HE29">
        <v>30.6774</v>
      </c>
      <c r="HF29">
        <v>30.0006</v>
      </c>
      <c r="HG29">
        <v>30.4203</v>
      </c>
      <c r="HH29">
        <v>30.3587</v>
      </c>
      <c r="HI29">
        <v>25.5317</v>
      </c>
      <c r="HJ29">
        <v>21.3558</v>
      </c>
      <c r="HK29">
        <v>100</v>
      </c>
      <c r="HL29">
        <v>-999.9</v>
      </c>
      <c r="HM29">
        <v>405</v>
      </c>
      <c r="HN29">
        <v>24.4957</v>
      </c>
      <c r="HO29">
        <v>99.5046</v>
      </c>
      <c r="HP29">
        <v>100.088</v>
      </c>
    </row>
    <row r="30" spans="1:224">
      <c r="A30">
        <v>14</v>
      </c>
      <c r="B30">
        <v>1750873214</v>
      </c>
      <c r="C30">
        <v>1788.400000095367</v>
      </c>
      <c r="D30" t="s">
        <v>397</v>
      </c>
      <c r="E30" t="s">
        <v>398</v>
      </c>
      <c r="F30">
        <v>15</v>
      </c>
      <c r="G30">
        <v>1750873206</v>
      </c>
      <c r="H30">
        <f>(I30)/1000</f>
        <v>0</v>
      </c>
      <c r="I30">
        <f>IF(BD30, AL30, AF30)</f>
        <v>0</v>
      </c>
      <c r="J30">
        <f>IF(BD30, AG30, AE30)</f>
        <v>0</v>
      </c>
      <c r="K30">
        <f>BF30 - IF(AS30&gt;1, J30*AZ30*100.0/(AU30), 0)</f>
        <v>0</v>
      </c>
      <c r="L30">
        <f>((R30-H30/2)*K30-J30)/(R30+H30/2)</f>
        <v>0</v>
      </c>
      <c r="M30">
        <f>L30*(BM30+BN30)/1000.0</f>
        <v>0</v>
      </c>
      <c r="N30">
        <f>(BF30 - IF(AS30&gt;1, J30*AZ30*100.0/(AU30), 0))*(BM30+BN30)/1000.0</f>
        <v>0</v>
      </c>
      <c r="O30">
        <f>2.0/((1/Q30-1/P30)+SIGN(Q30)*SQRT((1/Q30-1/P30)*(1/Q30-1/P30) + 4*BA30/((BA30+1)*(BA30+1))*(2*1/Q30*1/P30-1/P30*1/P30)))</f>
        <v>0</v>
      </c>
      <c r="P30">
        <f>IF(LEFT(BB30,1)&lt;&gt;"0",IF(LEFT(BB30,1)="1",3.0,BC30),$D$5+$E$5*(BT30*BM30/($K$5*1000))+$F$5*(BT30*BM30/($K$5*1000))*MAX(MIN(AZ30,$J$5),$I$5)*MAX(MIN(AZ30,$J$5),$I$5)+$G$5*MAX(MIN(AZ30,$J$5),$I$5)*(BT30*BM30/($K$5*1000))+$H$5*(BT30*BM30/($K$5*1000))*(BT30*BM30/($K$5*1000)))</f>
        <v>0</v>
      </c>
      <c r="Q30">
        <f>H30*(1000-(1000*0.61365*exp(17.502*U30/(240.97+U30))/(BM30+BN30)+BH30)/2)/(1000*0.61365*exp(17.502*U30/(240.97+U30))/(BM30+BN30)-BH30)</f>
        <v>0</v>
      </c>
      <c r="R30">
        <f>1/((BA30+1)/(O30/1.6)+1/(P30/1.37)) + BA30/((BA30+1)/(O30/1.6) + BA30/(P30/1.37))</f>
        <v>0</v>
      </c>
      <c r="S30">
        <f>(AV30*AY30)</f>
        <v>0</v>
      </c>
      <c r="T30">
        <f>(BO30+(S30+2*0.95*5.67E-8*(((BO30+$B$7)+273)^4-(BO30+273)^4)-44100*H30)/(1.84*29.3*P30+8*0.95*5.67E-8*(BO30+273)^3))</f>
        <v>0</v>
      </c>
      <c r="U30">
        <f>($C$7*BP30+$D$7*BQ30+$E$7*T30)</f>
        <v>0</v>
      </c>
      <c r="V30">
        <f>0.61365*exp(17.502*U30/(240.97+U30))</f>
        <v>0</v>
      </c>
      <c r="W30">
        <f>(X30/Y30*100)</f>
        <v>0</v>
      </c>
      <c r="X30">
        <f>BH30*(BM30+BN30)/1000</f>
        <v>0</v>
      </c>
      <c r="Y30">
        <f>0.61365*exp(17.502*BO30/(240.97+BO30))</f>
        <v>0</v>
      </c>
      <c r="Z30">
        <f>(V30-BH30*(BM30+BN30)/1000)</f>
        <v>0</v>
      </c>
      <c r="AA30">
        <f>(-H30*44100)</f>
        <v>0</v>
      </c>
      <c r="AB30">
        <f>2*29.3*P30*0.92*(BO30-U30)</f>
        <v>0</v>
      </c>
      <c r="AC30">
        <f>2*0.95*5.67E-8*(((BO30+$B$7)+273)^4-(U30+273)^4)</f>
        <v>0</v>
      </c>
      <c r="AD30">
        <f>S30+AC30+AA30+AB30</f>
        <v>0</v>
      </c>
      <c r="AE30">
        <f>BL30*AS30*(BG30-BF30*(1000-AS30*BI30)/(1000-AS30*BH30))/(100*AZ30)</f>
        <v>0</v>
      </c>
      <c r="AF30">
        <f>1000*BL30*AS30*(BH30-BI30)/(100*AZ30*(1000-AS30*BH30))</f>
        <v>0</v>
      </c>
      <c r="AG30">
        <f>(AH30 - AI30 - BM30*1E3/(8.314*(BO30+273.15)) * AK30/BL30 * AJ30) * BL30/(100*AZ30) * (1000 - BI30)/1000</f>
        <v>0</v>
      </c>
      <c r="AH30">
        <v>415.909436638041</v>
      </c>
      <c r="AI30">
        <v>415.7313515151514</v>
      </c>
      <c r="AJ30">
        <v>0.001050546717426272</v>
      </c>
      <c r="AK30">
        <v>66.94032409902388</v>
      </c>
      <c r="AL30">
        <f>(AN30 - AM30 + BM30*1E3/(8.314*(BO30+273.15)) * AP30/BL30 * AO30) * BL30/(100*AZ30) * 1000/(1000 - AN30)</f>
        <v>0</v>
      </c>
      <c r="AM30">
        <v>26.34711752490111</v>
      </c>
      <c r="AN30">
        <v>26.70304484848485</v>
      </c>
      <c r="AO30">
        <v>0.0002854026695284484</v>
      </c>
      <c r="AP30">
        <v>79.79921525053634</v>
      </c>
      <c r="AQ30">
        <v>79</v>
      </c>
      <c r="AR30">
        <v>10</v>
      </c>
      <c r="AS30">
        <f>IF(AQ30*$H$13&gt;=AU30,1.0,(AU30/(AU30-AQ30*$H$13)))</f>
        <v>0</v>
      </c>
      <c r="AT30">
        <f>(AS30-1)*100</f>
        <v>0</v>
      </c>
      <c r="AU30">
        <f>MAX(0,($B$13+$C$13*BT30)/(1+$D$13*BT30)*BM30/(BO30+273)*$E$13)</f>
        <v>0</v>
      </c>
      <c r="AV30">
        <f>$B$11*BU30+$C$11*BV30+$F$11*CG30*(1-CJ30)</f>
        <v>0</v>
      </c>
      <c r="AW30">
        <f>AV30*AX30</f>
        <v>0</v>
      </c>
      <c r="AX30">
        <f>($B$11*$D$9+$C$11*$D$9+$F$11*((CT30+CL30)/MAX(CT30+CL30+CU30, 0.1)*$I$9+CU30/MAX(CT30+CL30+CU30, 0.1)*$J$9))/($B$11+$C$11+$F$11)</f>
        <v>0</v>
      </c>
      <c r="AY30">
        <f>($B$11*$K$9+$C$11*$K$9+$F$11*((CT30+CL30)/MAX(CT30+CL30+CU30, 0.1)*$P$9+CU30/MAX(CT30+CL30+CU30, 0.1)*$Q$9))/($B$11+$C$11+$F$11)</f>
        <v>0</v>
      </c>
      <c r="AZ30">
        <v>6</v>
      </c>
      <c r="BA30">
        <v>0.5</v>
      </c>
      <c r="BB30" t="s">
        <v>353</v>
      </c>
      <c r="BC30">
        <v>2</v>
      </c>
      <c r="BD30" t="b">
        <v>0</v>
      </c>
      <c r="BE30">
        <v>1750873206</v>
      </c>
      <c r="BF30">
        <v>404.5087741935484</v>
      </c>
      <c r="BG30">
        <v>404.9771290322581</v>
      </c>
      <c r="BH30">
        <v>26.63960322580645</v>
      </c>
      <c r="BI30">
        <v>26.33138387096774</v>
      </c>
      <c r="BJ30">
        <v>402.5787741935484</v>
      </c>
      <c r="BK30">
        <v>26.23360322580645</v>
      </c>
      <c r="BL30">
        <v>799.9890967741936</v>
      </c>
      <c r="BM30">
        <v>100.8133225806451</v>
      </c>
      <c r="BN30">
        <v>0.1001267709677419</v>
      </c>
      <c r="BO30">
        <v>32.51541612903226</v>
      </c>
      <c r="BP30">
        <v>32.46845806451613</v>
      </c>
      <c r="BQ30">
        <v>999.9000000000003</v>
      </c>
      <c r="BR30">
        <v>0</v>
      </c>
      <c r="BS30">
        <v>0</v>
      </c>
      <c r="BT30">
        <v>10000.24032258064</v>
      </c>
      <c r="BU30">
        <v>0</v>
      </c>
      <c r="BV30">
        <v>0.00155205935483871</v>
      </c>
      <c r="BW30">
        <v>-0.3643788387096774</v>
      </c>
      <c r="BX30">
        <v>415.7054516129032</v>
      </c>
      <c r="BY30">
        <v>415.9290967741935</v>
      </c>
      <c r="BZ30">
        <v>0.3525837096774194</v>
      </c>
      <c r="CA30">
        <v>404.9771290322581</v>
      </c>
      <c r="CB30">
        <v>26.33138387096774</v>
      </c>
      <c r="CC30">
        <v>2.690100645161291</v>
      </c>
      <c r="CD30">
        <v>2.654555161290322</v>
      </c>
      <c r="CE30">
        <v>22.22476129032258</v>
      </c>
      <c r="CF30">
        <v>22.00646451612903</v>
      </c>
      <c r="CG30">
        <v>1000.001225806452</v>
      </c>
      <c r="CH30">
        <v>0.9599924516129034</v>
      </c>
      <c r="CI30">
        <v>0.04000780322580643</v>
      </c>
      <c r="CJ30">
        <v>0</v>
      </c>
      <c r="CK30">
        <v>1.271612903225807</v>
      </c>
      <c r="CL30">
        <v>0</v>
      </c>
      <c r="CM30">
        <v>5414.49129032258</v>
      </c>
      <c r="CN30">
        <v>7946.894838709678</v>
      </c>
      <c r="CO30">
        <v>37.81606451612902</v>
      </c>
      <c r="CP30">
        <v>40.80799999999999</v>
      </c>
      <c r="CQ30">
        <v>38.88699999999999</v>
      </c>
      <c r="CR30">
        <v>40.31809677419353</v>
      </c>
      <c r="CS30">
        <v>38.51799999999999</v>
      </c>
      <c r="CT30">
        <v>959.9929032258065</v>
      </c>
      <c r="CU30">
        <v>40.00935483870968</v>
      </c>
      <c r="CV30">
        <v>0</v>
      </c>
      <c r="CW30">
        <v>1750873231</v>
      </c>
      <c r="CX30">
        <v>0</v>
      </c>
      <c r="CY30">
        <v>1750873231</v>
      </c>
      <c r="CZ30" t="s">
        <v>399</v>
      </c>
      <c r="DA30">
        <v>1750873230.5</v>
      </c>
      <c r="DB30">
        <v>1750873231</v>
      </c>
      <c r="DC30">
        <v>14</v>
      </c>
      <c r="DD30">
        <v>-0.103</v>
      </c>
      <c r="DE30">
        <v>-0.031</v>
      </c>
      <c r="DF30">
        <v>1.93</v>
      </c>
      <c r="DG30">
        <v>0.406</v>
      </c>
      <c r="DH30">
        <v>405</v>
      </c>
      <c r="DI30">
        <v>26</v>
      </c>
      <c r="DJ30">
        <v>0.36</v>
      </c>
      <c r="DK30">
        <v>0.15</v>
      </c>
      <c r="DL30">
        <v>-0.369874475</v>
      </c>
      <c r="DM30">
        <v>0.2121798686679177</v>
      </c>
      <c r="DN30">
        <v>0.03128559986957857</v>
      </c>
      <c r="DO30">
        <v>0</v>
      </c>
      <c r="DP30">
        <v>0.354690875</v>
      </c>
      <c r="DQ30">
        <v>-0.02891992120075122</v>
      </c>
      <c r="DR30">
        <v>0.009432744344005883</v>
      </c>
      <c r="DS30">
        <v>1</v>
      </c>
      <c r="DT30">
        <v>1</v>
      </c>
      <c r="DU30">
        <v>2</v>
      </c>
      <c r="DV30" t="s">
        <v>365</v>
      </c>
      <c r="DW30">
        <v>3.45499</v>
      </c>
      <c r="DX30">
        <v>2.78105</v>
      </c>
      <c r="DY30">
        <v>0.09528059999999999</v>
      </c>
      <c r="DZ30">
        <v>0.0956684</v>
      </c>
      <c r="EA30">
        <v>0.125192</v>
      </c>
      <c r="EB30">
        <v>0.123741</v>
      </c>
      <c r="EC30">
        <v>26980.3</v>
      </c>
      <c r="ED30">
        <v>30758.9</v>
      </c>
      <c r="EE30">
        <v>28987.6</v>
      </c>
      <c r="EF30">
        <v>34625.3</v>
      </c>
      <c r="EG30">
        <v>29306.4</v>
      </c>
      <c r="EH30">
        <v>37661.3</v>
      </c>
      <c r="EI30">
        <v>35649.4</v>
      </c>
      <c r="EJ30">
        <v>45817.8</v>
      </c>
      <c r="EK30">
        <v>2.31875</v>
      </c>
      <c r="EL30">
        <v>2.10142</v>
      </c>
      <c r="EM30">
        <v>0.081785</v>
      </c>
      <c r="EN30">
        <v>0</v>
      </c>
      <c r="EO30">
        <v>31.1563</v>
      </c>
      <c r="EP30">
        <v>999.9</v>
      </c>
      <c r="EQ30">
        <v>68.90000000000001</v>
      </c>
      <c r="ER30">
        <v>29.6</v>
      </c>
      <c r="ES30">
        <v>28.4541</v>
      </c>
      <c r="ET30">
        <v>62.0501</v>
      </c>
      <c r="EU30">
        <v>24.3069</v>
      </c>
      <c r="EV30">
        <v>2</v>
      </c>
      <c r="EW30">
        <v>0.239129</v>
      </c>
      <c r="EX30">
        <v>0</v>
      </c>
      <c r="EY30">
        <v>20.2886</v>
      </c>
      <c r="EZ30">
        <v>5.21055</v>
      </c>
      <c r="FA30">
        <v>11.974</v>
      </c>
      <c r="FB30">
        <v>4.98945</v>
      </c>
      <c r="FC30">
        <v>3.272</v>
      </c>
      <c r="FD30">
        <v>3006.5</v>
      </c>
      <c r="FE30">
        <v>9999</v>
      </c>
      <c r="FF30">
        <v>9999</v>
      </c>
      <c r="FG30">
        <v>999.9</v>
      </c>
      <c r="FH30">
        <v>4.97268</v>
      </c>
      <c r="FI30">
        <v>1.8631</v>
      </c>
      <c r="FJ30">
        <v>1.865</v>
      </c>
      <c r="FK30">
        <v>1.86348</v>
      </c>
      <c r="FL30">
        <v>1.8634</v>
      </c>
      <c r="FM30">
        <v>1.86386</v>
      </c>
      <c r="FN30">
        <v>1.86037</v>
      </c>
      <c r="FO30">
        <v>1.86322</v>
      </c>
      <c r="FP30">
        <v>0</v>
      </c>
      <c r="FQ30">
        <v>0</v>
      </c>
      <c r="FR30">
        <v>0</v>
      </c>
      <c r="FS30">
        <v>0</v>
      </c>
      <c r="FT30" t="s">
        <v>356</v>
      </c>
      <c r="FU30" t="s">
        <v>357</v>
      </c>
      <c r="FV30" t="s">
        <v>358</v>
      </c>
      <c r="FW30" t="s">
        <v>358</v>
      </c>
      <c r="FX30" t="s">
        <v>358</v>
      </c>
      <c r="FY30" t="s">
        <v>358</v>
      </c>
      <c r="FZ30">
        <v>0</v>
      </c>
      <c r="GA30">
        <v>100</v>
      </c>
      <c r="GB30">
        <v>100</v>
      </c>
      <c r="GC30">
        <v>1.93</v>
      </c>
      <c r="GD30">
        <v>0.406</v>
      </c>
      <c r="GE30">
        <v>2.31682755572327</v>
      </c>
      <c r="GF30">
        <v>-0.001033730503750798</v>
      </c>
      <c r="GG30">
        <v>9.120241388950126E-07</v>
      </c>
      <c r="GH30">
        <v>-2.246115299815222E-10</v>
      </c>
      <c r="GI30">
        <v>-0.1686139623058464</v>
      </c>
      <c r="GJ30">
        <v>-0.01814858093373864</v>
      </c>
      <c r="GK30">
        <v>0.002091959988359369</v>
      </c>
      <c r="GL30">
        <v>-1.90871700788604E-05</v>
      </c>
      <c r="GM30">
        <v>2</v>
      </c>
      <c r="GN30">
        <v>2210</v>
      </c>
      <c r="GO30">
        <v>1</v>
      </c>
      <c r="GP30">
        <v>26</v>
      </c>
      <c r="GQ30">
        <v>1.8</v>
      </c>
      <c r="GR30">
        <v>3.9</v>
      </c>
      <c r="GS30">
        <v>1.27563</v>
      </c>
      <c r="GT30">
        <v>2.41333</v>
      </c>
      <c r="GU30">
        <v>2.34863</v>
      </c>
      <c r="GV30">
        <v>2.73926</v>
      </c>
      <c r="GW30">
        <v>2.39868</v>
      </c>
      <c r="GX30">
        <v>2.26318</v>
      </c>
      <c r="GY30">
        <v>35.8711</v>
      </c>
      <c r="GZ30">
        <v>13.5366</v>
      </c>
      <c r="HA30">
        <v>18</v>
      </c>
      <c r="HB30">
        <v>736.439</v>
      </c>
      <c r="HC30">
        <v>615.742</v>
      </c>
      <c r="HD30">
        <v>31.8876</v>
      </c>
      <c r="HE30">
        <v>30.8855</v>
      </c>
      <c r="HF30">
        <v>30.0008</v>
      </c>
      <c r="HG30">
        <v>30.618</v>
      </c>
      <c r="HH30">
        <v>30.5577</v>
      </c>
      <c r="HI30">
        <v>25.5806</v>
      </c>
      <c r="HJ30">
        <v>15.3605</v>
      </c>
      <c r="HK30">
        <v>100</v>
      </c>
      <c r="HL30">
        <v>-999.9</v>
      </c>
      <c r="HM30">
        <v>405</v>
      </c>
      <c r="HN30">
        <v>26.2956</v>
      </c>
      <c r="HO30">
        <v>99.4742</v>
      </c>
      <c r="HP30">
        <v>100.058</v>
      </c>
    </row>
    <row r="31" spans="1:224">
      <c r="A31">
        <v>15</v>
      </c>
      <c r="B31">
        <v>1750873615.5</v>
      </c>
      <c r="C31">
        <v>2189.900000095367</v>
      </c>
      <c r="D31" t="s">
        <v>400</v>
      </c>
      <c r="E31" t="s">
        <v>401</v>
      </c>
      <c r="F31">
        <v>15</v>
      </c>
      <c r="G31">
        <v>1750873607.75</v>
      </c>
      <c r="H31">
        <f>(I31)/1000</f>
        <v>0</v>
      </c>
      <c r="I31">
        <f>IF(BD31, AL31, AF31)</f>
        <v>0</v>
      </c>
      <c r="J31">
        <f>IF(BD31, AG31, AE31)</f>
        <v>0</v>
      </c>
      <c r="K31">
        <f>BF31 - IF(AS31&gt;1, J31*AZ31*100.0/(AU31), 0)</f>
        <v>0</v>
      </c>
      <c r="L31">
        <f>((R31-H31/2)*K31-J31)/(R31+H31/2)</f>
        <v>0</v>
      </c>
      <c r="M31">
        <f>L31*(BM31+BN31)/1000.0</f>
        <v>0</v>
      </c>
      <c r="N31">
        <f>(BF31 - IF(AS31&gt;1, J31*AZ31*100.0/(AU31), 0))*(BM31+BN31)/1000.0</f>
        <v>0</v>
      </c>
      <c r="O31">
        <f>2.0/((1/Q31-1/P31)+SIGN(Q31)*SQRT((1/Q31-1/P31)*(1/Q31-1/P31) + 4*BA31/((BA31+1)*(BA31+1))*(2*1/Q31*1/P31-1/P31*1/P31)))</f>
        <v>0</v>
      </c>
      <c r="P31">
        <f>IF(LEFT(BB31,1)&lt;&gt;"0",IF(LEFT(BB31,1)="1",3.0,BC31),$D$5+$E$5*(BT31*BM31/($K$5*1000))+$F$5*(BT31*BM31/($K$5*1000))*MAX(MIN(AZ31,$J$5),$I$5)*MAX(MIN(AZ31,$J$5),$I$5)+$G$5*MAX(MIN(AZ31,$J$5),$I$5)*(BT31*BM31/($K$5*1000))+$H$5*(BT31*BM31/($K$5*1000))*(BT31*BM31/($K$5*1000)))</f>
        <v>0</v>
      </c>
      <c r="Q31">
        <f>H31*(1000-(1000*0.61365*exp(17.502*U31/(240.97+U31))/(BM31+BN31)+BH31)/2)/(1000*0.61365*exp(17.502*U31/(240.97+U31))/(BM31+BN31)-BH31)</f>
        <v>0</v>
      </c>
      <c r="R31">
        <f>1/((BA31+1)/(O31/1.6)+1/(P31/1.37)) + BA31/((BA31+1)/(O31/1.6) + BA31/(P31/1.37))</f>
        <v>0</v>
      </c>
      <c r="S31">
        <f>(AV31*AY31)</f>
        <v>0</v>
      </c>
      <c r="T31">
        <f>(BO31+(S31+2*0.95*5.67E-8*(((BO31+$B$7)+273)^4-(BO31+273)^4)-44100*H31)/(1.84*29.3*P31+8*0.95*5.67E-8*(BO31+273)^3))</f>
        <v>0</v>
      </c>
      <c r="U31">
        <f>($C$7*BP31+$D$7*BQ31+$E$7*T31)</f>
        <v>0</v>
      </c>
      <c r="V31">
        <f>0.61365*exp(17.502*U31/(240.97+U31))</f>
        <v>0</v>
      </c>
      <c r="W31">
        <f>(X31/Y31*100)</f>
        <v>0</v>
      </c>
      <c r="X31">
        <f>BH31*(BM31+BN31)/1000</f>
        <v>0</v>
      </c>
      <c r="Y31">
        <f>0.61365*exp(17.502*BO31/(240.97+BO31))</f>
        <v>0</v>
      </c>
      <c r="Z31">
        <f>(V31-BH31*(BM31+BN31)/1000)</f>
        <v>0</v>
      </c>
      <c r="AA31">
        <f>(-H31*44100)</f>
        <v>0</v>
      </c>
      <c r="AB31">
        <f>2*29.3*P31*0.92*(BO31-U31)</f>
        <v>0</v>
      </c>
      <c r="AC31">
        <f>2*0.95*5.67E-8*(((BO31+$B$7)+273)^4-(U31+273)^4)</f>
        <v>0</v>
      </c>
      <c r="AD31">
        <f>S31+AC31+AA31+AB31</f>
        <v>0</v>
      </c>
      <c r="AE31">
        <f>BL31*AS31*(BG31-BF31*(1000-AS31*BI31)/(1000-AS31*BH31))/(100*AZ31)</f>
        <v>0</v>
      </c>
      <c r="AF31">
        <f>1000*BL31*AS31*(BH31-BI31)/(100*AZ31*(1000-AS31*BH31))</f>
        <v>0</v>
      </c>
      <c r="AG31">
        <f>(AH31 - AI31 - BM31*1E3/(8.314*(BO31+273.15)) * AK31/BL31 * AJ31) * BL31/(100*AZ31) * (1000 - BI31)/1000</f>
        <v>0</v>
      </c>
      <c r="AH31">
        <v>415.9956480982666</v>
      </c>
      <c r="AI31">
        <v>428.3939454545452</v>
      </c>
      <c r="AJ31">
        <v>0.002405030413642778</v>
      </c>
      <c r="AK31">
        <v>66.94053978123233</v>
      </c>
      <c r="AL31">
        <f>(AN31 - AM31 + BM31*1E3/(8.314*(BO31+273.15)) * AP31/BL31 * AO31) * BL31/(100*AZ31) * 1000/(1000 - AN31)</f>
        <v>0</v>
      </c>
      <c r="AM31">
        <v>26.44289640197091</v>
      </c>
      <c r="AN31">
        <v>20.67160666666666</v>
      </c>
      <c r="AO31">
        <v>4.315778222076993E-05</v>
      </c>
      <c r="AP31">
        <v>79.620826549912</v>
      </c>
      <c r="AQ31">
        <v>802</v>
      </c>
      <c r="AR31">
        <v>100</v>
      </c>
      <c r="AS31">
        <f>IF(AQ31*$H$13&gt;=AU31,1.0,(AU31/(AU31-AQ31*$H$13)))</f>
        <v>0</v>
      </c>
      <c r="AT31">
        <f>(AS31-1)*100</f>
        <v>0</v>
      </c>
      <c r="AU31">
        <f>MAX(0,($B$13+$C$13*BT31)/(1+$D$13*BT31)*BM31/(BO31+273)*$E$13)</f>
        <v>0</v>
      </c>
      <c r="AV31">
        <f>$B$11*BU31+$C$11*BV31+$F$11*CG31*(1-CJ31)</f>
        <v>0</v>
      </c>
      <c r="AW31">
        <f>AV31*AX31</f>
        <v>0</v>
      </c>
      <c r="AX31">
        <f>($B$11*$D$9+$C$11*$D$9+$F$11*((CT31+CL31)/MAX(CT31+CL31+CU31, 0.1)*$I$9+CU31/MAX(CT31+CL31+CU31, 0.1)*$J$9))/($B$11+$C$11+$F$11)</f>
        <v>0</v>
      </c>
      <c r="AY31">
        <f>($B$11*$K$9+$C$11*$K$9+$F$11*((CT31+CL31)/MAX(CT31+CL31+CU31, 0.1)*$P$9+CU31/MAX(CT31+CL31+CU31, 0.1)*$Q$9))/($B$11+$C$11+$F$11)</f>
        <v>0</v>
      </c>
      <c r="AZ31">
        <v>6</v>
      </c>
      <c r="BA31">
        <v>0.5</v>
      </c>
      <c r="BB31" t="s">
        <v>353</v>
      </c>
      <c r="BC31">
        <v>2</v>
      </c>
      <c r="BD31" t="b">
        <v>0</v>
      </c>
      <c r="BE31">
        <v>1750873607.75</v>
      </c>
      <c r="BF31">
        <v>419.4868000000001</v>
      </c>
      <c r="BG31">
        <v>404.9971</v>
      </c>
      <c r="BH31">
        <v>20.64876333333334</v>
      </c>
      <c r="BI31">
        <v>26.43421666666667</v>
      </c>
      <c r="BJ31">
        <v>417.5620666666666</v>
      </c>
      <c r="BK31">
        <v>20.50281666666666</v>
      </c>
      <c r="BL31">
        <v>799.9950333333333</v>
      </c>
      <c r="BM31">
        <v>100.8295</v>
      </c>
      <c r="BN31">
        <v>0.06512066666666667</v>
      </c>
      <c r="BO31">
        <v>33.20046</v>
      </c>
      <c r="BP31">
        <v>32.80279333333333</v>
      </c>
      <c r="BQ31">
        <v>999.9000000000002</v>
      </c>
      <c r="BR31">
        <v>0</v>
      </c>
      <c r="BS31">
        <v>0</v>
      </c>
      <c r="BT31">
        <v>10013.12</v>
      </c>
      <c r="BU31">
        <v>0</v>
      </c>
      <c r="BV31">
        <v>0.001536903333333333</v>
      </c>
      <c r="BW31">
        <v>14.48975</v>
      </c>
      <c r="BX31">
        <v>428.3312333333333</v>
      </c>
      <c r="BY31">
        <v>415.9934333333333</v>
      </c>
      <c r="BZ31">
        <v>-5.785450666666667</v>
      </c>
      <c r="CA31">
        <v>404.9971</v>
      </c>
      <c r="CB31">
        <v>26.43421666666667</v>
      </c>
      <c r="CC31">
        <v>2.082005999999999</v>
      </c>
      <c r="CD31">
        <v>2.665350333333333</v>
      </c>
      <c r="CE31">
        <v>18.08218</v>
      </c>
      <c r="CF31">
        <v>22.07305333333333</v>
      </c>
      <c r="CG31">
        <v>1000.0124</v>
      </c>
      <c r="CH31">
        <v>0.9600101666666665</v>
      </c>
      <c r="CI31">
        <v>0.03998982</v>
      </c>
      <c r="CJ31">
        <v>0</v>
      </c>
      <c r="CK31">
        <v>0.2748333333333334</v>
      </c>
      <c r="CL31">
        <v>0</v>
      </c>
      <c r="CM31">
        <v>6969.812333333333</v>
      </c>
      <c r="CN31">
        <v>7947.045666666666</v>
      </c>
      <c r="CO31">
        <v>38.31199999999999</v>
      </c>
      <c r="CP31">
        <v>41.25413333333333</v>
      </c>
      <c r="CQ31">
        <v>39.38739999999999</v>
      </c>
      <c r="CR31">
        <v>40.8414</v>
      </c>
      <c r="CS31">
        <v>39.06199999999999</v>
      </c>
      <c r="CT31">
        <v>960.0223333333334</v>
      </c>
      <c r="CU31">
        <v>39.99</v>
      </c>
      <c r="CV31">
        <v>0</v>
      </c>
      <c r="CW31">
        <v>1750873632.4</v>
      </c>
      <c r="CX31">
        <v>0</v>
      </c>
      <c r="CY31">
        <v>1750873231</v>
      </c>
      <c r="CZ31" t="s">
        <v>399</v>
      </c>
      <c r="DA31">
        <v>1750873230.5</v>
      </c>
      <c r="DB31">
        <v>1750873231</v>
      </c>
      <c r="DC31">
        <v>14</v>
      </c>
      <c r="DD31">
        <v>-0.103</v>
      </c>
      <c r="DE31">
        <v>-0.031</v>
      </c>
      <c r="DF31">
        <v>1.93</v>
      </c>
      <c r="DG31">
        <v>0.406</v>
      </c>
      <c r="DH31">
        <v>405</v>
      </c>
      <c r="DI31">
        <v>26</v>
      </c>
      <c r="DJ31">
        <v>0.36</v>
      </c>
      <c r="DK31">
        <v>0.15</v>
      </c>
      <c r="DL31">
        <v>14.47516341463415</v>
      </c>
      <c r="DM31">
        <v>0.280206271776969</v>
      </c>
      <c r="DN31">
        <v>0.03295126302103962</v>
      </c>
      <c r="DO31">
        <v>0</v>
      </c>
      <c r="DP31">
        <v>-5.802818292682927</v>
      </c>
      <c r="DQ31">
        <v>0.2672964459930248</v>
      </c>
      <c r="DR31">
        <v>0.0330971555702475</v>
      </c>
      <c r="DS31">
        <v>0</v>
      </c>
      <c r="DT31">
        <v>0</v>
      </c>
      <c r="DU31">
        <v>2</v>
      </c>
      <c r="DV31" t="s">
        <v>355</v>
      </c>
      <c r="DW31">
        <v>3.45497</v>
      </c>
      <c r="DX31">
        <v>2.74516</v>
      </c>
      <c r="DY31">
        <v>0.0977576</v>
      </c>
      <c r="DZ31">
        <v>0.0955693</v>
      </c>
      <c r="EA31">
        <v>0.105082</v>
      </c>
      <c r="EB31">
        <v>0.123925</v>
      </c>
      <c r="EC31">
        <v>26889</v>
      </c>
      <c r="ED31">
        <v>30745.3</v>
      </c>
      <c r="EE31">
        <v>28970.8</v>
      </c>
      <c r="EF31">
        <v>34608.5</v>
      </c>
      <c r="EG31">
        <v>29970</v>
      </c>
      <c r="EH31">
        <v>37636.7</v>
      </c>
      <c r="EI31">
        <v>35630.9</v>
      </c>
      <c r="EJ31">
        <v>45796.6</v>
      </c>
      <c r="EK31">
        <v>0.304</v>
      </c>
      <c r="EL31">
        <v>2.08515</v>
      </c>
      <c r="EM31">
        <v>0.06756189999999999</v>
      </c>
      <c r="EN31">
        <v>0</v>
      </c>
      <c r="EO31">
        <v>31.7225</v>
      </c>
      <c r="EP31">
        <v>999.9</v>
      </c>
      <c r="EQ31">
        <v>67.40000000000001</v>
      </c>
      <c r="ER31">
        <v>30.6</v>
      </c>
      <c r="ES31">
        <v>29.4732</v>
      </c>
      <c r="ET31">
        <v>61.1601</v>
      </c>
      <c r="EU31">
        <v>22.5521</v>
      </c>
      <c r="EV31">
        <v>2</v>
      </c>
      <c r="EW31">
        <v>0.274365</v>
      </c>
      <c r="EX31">
        <v>0</v>
      </c>
      <c r="EY31">
        <v>20.2881</v>
      </c>
      <c r="EZ31">
        <v>5.2083</v>
      </c>
      <c r="FA31">
        <v>11.974</v>
      </c>
      <c r="FB31">
        <v>4.9893</v>
      </c>
      <c r="FC31">
        <v>3.27132</v>
      </c>
      <c r="FD31">
        <v>3018.7</v>
      </c>
      <c r="FE31">
        <v>9999</v>
      </c>
      <c r="FF31">
        <v>9999</v>
      </c>
      <c r="FG31">
        <v>999.9</v>
      </c>
      <c r="FH31">
        <v>4.97269</v>
      </c>
      <c r="FI31">
        <v>1.86319</v>
      </c>
      <c r="FJ31">
        <v>1.86508</v>
      </c>
      <c r="FK31">
        <v>1.86356</v>
      </c>
      <c r="FL31">
        <v>1.8635</v>
      </c>
      <c r="FM31">
        <v>1.86401</v>
      </c>
      <c r="FN31">
        <v>1.86049</v>
      </c>
      <c r="FO31">
        <v>1.86325</v>
      </c>
      <c r="FP31">
        <v>0</v>
      </c>
      <c r="FQ31">
        <v>0</v>
      </c>
      <c r="FR31">
        <v>0</v>
      </c>
      <c r="FS31">
        <v>0</v>
      </c>
      <c r="FT31" t="s">
        <v>356</v>
      </c>
      <c r="FU31" t="s">
        <v>357</v>
      </c>
      <c r="FV31" t="s">
        <v>358</v>
      </c>
      <c r="FW31" t="s">
        <v>358</v>
      </c>
      <c r="FX31" t="s">
        <v>358</v>
      </c>
      <c r="FY31" t="s">
        <v>358</v>
      </c>
      <c r="FZ31">
        <v>0</v>
      </c>
      <c r="GA31">
        <v>100</v>
      </c>
      <c r="GB31">
        <v>100</v>
      </c>
      <c r="GC31">
        <v>1.924</v>
      </c>
      <c r="GD31">
        <v>0.1469</v>
      </c>
      <c r="GE31">
        <v>2.213552660226202</v>
      </c>
      <c r="GF31">
        <v>-0.001033730503750798</v>
      </c>
      <c r="GG31">
        <v>9.120241388950126E-07</v>
      </c>
      <c r="GH31">
        <v>-2.246115299815222E-10</v>
      </c>
      <c r="GI31">
        <v>-0.1968274097000157</v>
      </c>
      <c r="GJ31">
        <v>-0.01814858093373864</v>
      </c>
      <c r="GK31">
        <v>0.002091959988359369</v>
      </c>
      <c r="GL31">
        <v>-1.90871700788604E-05</v>
      </c>
      <c r="GM31">
        <v>2</v>
      </c>
      <c r="GN31">
        <v>2210</v>
      </c>
      <c r="GO31">
        <v>1</v>
      </c>
      <c r="GP31">
        <v>26</v>
      </c>
      <c r="GQ31">
        <v>6.4</v>
      </c>
      <c r="GR31">
        <v>6.4</v>
      </c>
      <c r="GS31">
        <v>1.27686</v>
      </c>
      <c r="GT31">
        <v>2.40845</v>
      </c>
      <c r="GU31">
        <v>2.34741</v>
      </c>
      <c r="GV31">
        <v>2.73071</v>
      </c>
      <c r="GW31">
        <v>2.39868</v>
      </c>
      <c r="GX31">
        <v>2.29736</v>
      </c>
      <c r="GY31">
        <v>36.7417</v>
      </c>
      <c r="GZ31">
        <v>13.4929</v>
      </c>
      <c r="HA31">
        <v>18</v>
      </c>
      <c r="HB31">
        <v>-0.0758143</v>
      </c>
      <c r="HC31">
        <v>607.737</v>
      </c>
      <c r="HD31">
        <v>32.5822</v>
      </c>
      <c r="HE31">
        <v>31.3866</v>
      </c>
      <c r="HF31">
        <v>30.0005</v>
      </c>
      <c r="HG31">
        <v>31.3642</v>
      </c>
      <c r="HH31">
        <v>31.0363</v>
      </c>
      <c r="HI31">
        <v>25.6198</v>
      </c>
      <c r="HJ31">
        <v>18.0485</v>
      </c>
      <c r="HK31">
        <v>100</v>
      </c>
      <c r="HL31">
        <v>-999.9</v>
      </c>
      <c r="HM31">
        <v>405</v>
      </c>
      <c r="HN31">
        <v>26.4556</v>
      </c>
      <c r="HO31">
        <v>99.4199</v>
      </c>
      <c r="HP31">
        <v>100.011</v>
      </c>
    </row>
    <row r="32" spans="1:224">
      <c r="A32">
        <v>16</v>
      </c>
      <c r="B32">
        <v>1750873722.5</v>
      </c>
      <c r="C32">
        <v>2296.900000095367</v>
      </c>
      <c r="D32" t="s">
        <v>402</v>
      </c>
      <c r="E32" t="s">
        <v>403</v>
      </c>
      <c r="F32">
        <v>15</v>
      </c>
      <c r="G32">
        <v>1750873714.5</v>
      </c>
      <c r="H32">
        <f>(I32)/1000</f>
        <v>0</v>
      </c>
      <c r="I32">
        <f>IF(BD32, AL32, AF32)</f>
        <v>0</v>
      </c>
      <c r="J32">
        <f>IF(BD32, AG32, AE32)</f>
        <v>0</v>
      </c>
      <c r="K32">
        <f>BF32 - IF(AS32&gt;1, J32*AZ32*100.0/(AU32), 0)</f>
        <v>0</v>
      </c>
      <c r="L32">
        <f>((R32-H32/2)*K32-J32)/(R32+H32/2)</f>
        <v>0</v>
      </c>
      <c r="M32">
        <f>L32*(BM32+BN32)/1000.0</f>
        <v>0</v>
      </c>
      <c r="N32">
        <f>(BF32 - IF(AS32&gt;1, J32*AZ32*100.0/(AU32), 0))*(BM32+BN32)/1000.0</f>
        <v>0</v>
      </c>
      <c r="O32">
        <f>2.0/((1/Q32-1/P32)+SIGN(Q32)*SQRT((1/Q32-1/P32)*(1/Q32-1/P32) + 4*BA32/((BA32+1)*(BA32+1))*(2*1/Q32*1/P32-1/P32*1/P32)))</f>
        <v>0</v>
      </c>
      <c r="P32">
        <f>IF(LEFT(BB32,1)&lt;&gt;"0",IF(LEFT(BB32,1)="1",3.0,BC32),$D$5+$E$5*(BT32*BM32/($K$5*1000))+$F$5*(BT32*BM32/($K$5*1000))*MAX(MIN(AZ32,$J$5),$I$5)*MAX(MIN(AZ32,$J$5),$I$5)+$G$5*MAX(MIN(AZ32,$J$5),$I$5)*(BT32*BM32/($K$5*1000))+$H$5*(BT32*BM32/($K$5*1000))*(BT32*BM32/($K$5*1000)))</f>
        <v>0</v>
      </c>
      <c r="Q32">
        <f>H32*(1000-(1000*0.61365*exp(17.502*U32/(240.97+U32))/(BM32+BN32)+BH32)/2)/(1000*0.61365*exp(17.502*U32/(240.97+U32))/(BM32+BN32)-BH32)</f>
        <v>0</v>
      </c>
      <c r="R32">
        <f>1/((BA32+1)/(O32/1.6)+1/(P32/1.37)) + BA32/((BA32+1)/(O32/1.6) + BA32/(P32/1.37))</f>
        <v>0</v>
      </c>
      <c r="S32">
        <f>(AV32*AY32)</f>
        <v>0</v>
      </c>
      <c r="T32">
        <f>(BO32+(S32+2*0.95*5.67E-8*(((BO32+$B$7)+273)^4-(BO32+273)^4)-44100*H32)/(1.84*29.3*P32+8*0.95*5.67E-8*(BO32+273)^3))</f>
        <v>0</v>
      </c>
      <c r="U32">
        <f>($C$7*BP32+$D$7*BQ32+$E$7*T32)</f>
        <v>0</v>
      </c>
      <c r="V32">
        <f>0.61365*exp(17.502*U32/(240.97+U32))</f>
        <v>0</v>
      </c>
      <c r="W32">
        <f>(X32/Y32*100)</f>
        <v>0</v>
      </c>
      <c r="X32">
        <f>BH32*(BM32+BN32)/1000</f>
        <v>0</v>
      </c>
      <c r="Y32">
        <f>0.61365*exp(17.502*BO32/(240.97+BO32))</f>
        <v>0</v>
      </c>
      <c r="Z32">
        <f>(V32-BH32*(BM32+BN32)/1000)</f>
        <v>0</v>
      </c>
      <c r="AA32">
        <f>(-H32*44100)</f>
        <v>0</v>
      </c>
      <c r="AB32">
        <f>2*29.3*P32*0.92*(BO32-U32)</f>
        <v>0</v>
      </c>
      <c r="AC32">
        <f>2*0.95*5.67E-8*(((BO32+$B$7)+273)^4-(U32+273)^4)</f>
        <v>0</v>
      </c>
      <c r="AD32">
        <f>S32+AC32+AA32+AB32</f>
        <v>0</v>
      </c>
      <c r="AE32">
        <f>BL32*AS32*(BG32-BF32*(1000-AS32*BI32)/(1000-AS32*BH32))/(100*AZ32)</f>
        <v>0</v>
      </c>
      <c r="AF32">
        <f>1000*BL32*AS32*(BH32-BI32)/(100*AZ32*(1000-AS32*BH32))</f>
        <v>0</v>
      </c>
      <c r="AG32">
        <f>(AH32 - AI32 - BM32*1E3/(8.314*(BO32+273.15)) * AK32/BL32 * AJ32) * BL32/(100*AZ32) * (1000 - BI32)/1000</f>
        <v>0</v>
      </c>
      <c r="AH32">
        <v>415.6333380754288</v>
      </c>
      <c r="AI32">
        <v>409.6863515151513</v>
      </c>
      <c r="AJ32">
        <v>-0.002175682476843262</v>
      </c>
      <c r="AK32">
        <v>66.94003538857889</v>
      </c>
      <c r="AL32">
        <f>(AN32 - AM32 + BM32*1E3/(8.314*(BO32+273.15)) * AP32/BL32 * AO32) * BL32/(100*AZ32) * 1000/(1000 - AN32)</f>
        <v>0</v>
      </c>
      <c r="AM32">
        <v>25.63744494007134</v>
      </c>
      <c r="AN32">
        <v>27.69281393939393</v>
      </c>
      <c r="AO32">
        <v>6.203372901845424E-05</v>
      </c>
      <c r="AP32">
        <v>79.80745526483038</v>
      </c>
      <c r="AQ32">
        <v>205</v>
      </c>
      <c r="AR32">
        <v>26</v>
      </c>
      <c r="AS32">
        <f>IF(AQ32*$H$13&gt;=AU32,1.0,(AU32/(AU32-AQ32*$H$13)))</f>
        <v>0</v>
      </c>
      <c r="AT32">
        <f>(AS32-1)*100</f>
        <v>0</v>
      </c>
      <c r="AU32">
        <f>MAX(0,($B$13+$C$13*BT32)/(1+$D$13*BT32)*BM32/(BO32+273)*$E$13)</f>
        <v>0</v>
      </c>
      <c r="AV32">
        <f>$B$11*BU32+$C$11*BV32+$F$11*CG32*(1-CJ32)</f>
        <v>0</v>
      </c>
      <c r="AW32">
        <f>AV32*AX32</f>
        <v>0</v>
      </c>
      <c r="AX32">
        <f>($B$11*$D$9+$C$11*$D$9+$F$11*((CT32+CL32)/MAX(CT32+CL32+CU32, 0.1)*$I$9+CU32/MAX(CT32+CL32+CU32, 0.1)*$J$9))/($B$11+$C$11+$F$11)</f>
        <v>0</v>
      </c>
      <c r="AY32">
        <f>($B$11*$K$9+$C$11*$K$9+$F$11*((CT32+CL32)/MAX(CT32+CL32+CU32, 0.1)*$P$9+CU32/MAX(CT32+CL32+CU32, 0.1)*$Q$9))/($B$11+$C$11+$F$11)</f>
        <v>0</v>
      </c>
      <c r="AZ32">
        <v>6</v>
      </c>
      <c r="BA32">
        <v>0.5</v>
      </c>
      <c r="BB32" t="s">
        <v>353</v>
      </c>
      <c r="BC32">
        <v>2</v>
      </c>
      <c r="BD32" t="b">
        <v>0</v>
      </c>
      <c r="BE32">
        <v>1750873714.5</v>
      </c>
      <c r="BF32">
        <v>398.2865161290323</v>
      </c>
      <c r="BG32">
        <v>405.0115806451612</v>
      </c>
      <c r="BH32">
        <v>27.7054</v>
      </c>
      <c r="BI32">
        <v>25.63735806451612</v>
      </c>
      <c r="BJ32">
        <v>396.4295161290323</v>
      </c>
      <c r="BK32">
        <v>27.2306193548387</v>
      </c>
      <c r="BL32">
        <v>799.9816451612901</v>
      </c>
      <c r="BM32">
        <v>100.8277741935484</v>
      </c>
      <c r="BN32">
        <v>0.09994201935483871</v>
      </c>
      <c r="BO32">
        <v>33.18871935483871</v>
      </c>
      <c r="BP32">
        <v>32.69984516129033</v>
      </c>
      <c r="BQ32">
        <v>999.9000000000003</v>
      </c>
      <c r="BR32">
        <v>0</v>
      </c>
      <c r="BS32">
        <v>0</v>
      </c>
      <c r="BT32">
        <v>10005.16290322581</v>
      </c>
      <c r="BU32">
        <v>0</v>
      </c>
      <c r="BV32">
        <v>0.001592132903225806</v>
      </c>
      <c r="BW32">
        <v>-6.649125483870966</v>
      </c>
      <c r="BX32">
        <v>409.7138064516129</v>
      </c>
      <c r="BY32">
        <v>415.6683225806452</v>
      </c>
      <c r="BZ32">
        <v>2.068037741935484</v>
      </c>
      <c r="CA32">
        <v>405.0115806451612</v>
      </c>
      <c r="CB32">
        <v>25.63735806451612</v>
      </c>
      <c r="CC32">
        <v>2.79347</v>
      </c>
      <c r="CD32">
        <v>2.584953870967742</v>
      </c>
      <c r="CE32">
        <v>22.84555806451612</v>
      </c>
      <c r="CF32">
        <v>21.57152258064516</v>
      </c>
      <c r="CG32">
        <v>1000.015096774193</v>
      </c>
      <c r="CH32">
        <v>0.9599943870967745</v>
      </c>
      <c r="CI32">
        <v>0.04000519032258064</v>
      </c>
      <c r="CJ32">
        <v>0</v>
      </c>
      <c r="CK32">
        <v>2.399677419354838</v>
      </c>
      <c r="CL32">
        <v>0</v>
      </c>
      <c r="CM32">
        <v>8219.899677419353</v>
      </c>
      <c r="CN32">
        <v>7947.022580645162</v>
      </c>
      <c r="CO32">
        <v>38.5</v>
      </c>
      <c r="CP32">
        <v>41.48577419354839</v>
      </c>
      <c r="CQ32">
        <v>39.625</v>
      </c>
      <c r="CR32">
        <v>40.93699999999998</v>
      </c>
      <c r="CS32">
        <v>39.25</v>
      </c>
      <c r="CT32">
        <v>960.0064516129032</v>
      </c>
      <c r="CU32">
        <v>40.00645161290322</v>
      </c>
      <c r="CV32">
        <v>0</v>
      </c>
      <c r="CW32">
        <v>1750873739.2</v>
      </c>
      <c r="CX32">
        <v>0</v>
      </c>
      <c r="CY32">
        <v>1750873743.5</v>
      </c>
      <c r="CZ32" t="s">
        <v>404</v>
      </c>
      <c r="DA32">
        <v>1750873743.5</v>
      </c>
      <c r="DB32">
        <v>1750873231</v>
      </c>
      <c r="DC32">
        <v>15</v>
      </c>
      <c r="DD32">
        <v>-0.073</v>
      </c>
      <c r="DE32">
        <v>-0.031</v>
      </c>
      <c r="DF32">
        <v>1.857</v>
      </c>
      <c r="DG32">
        <v>0.406</v>
      </c>
      <c r="DH32">
        <v>405</v>
      </c>
      <c r="DI32">
        <v>26</v>
      </c>
      <c r="DJ32">
        <v>0.35</v>
      </c>
      <c r="DK32">
        <v>0.15</v>
      </c>
      <c r="DL32">
        <v>-6.640333170731706</v>
      </c>
      <c r="DM32">
        <v>-0.05014850174216342</v>
      </c>
      <c r="DN32">
        <v>0.03332353503917963</v>
      </c>
      <c r="DO32">
        <v>1</v>
      </c>
      <c r="DP32">
        <v>2.056846585365854</v>
      </c>
      <c r="DQ32">
        <v>0.09699470383274708</v>
      </c>
      <c r="DR32">
        <v>0.0256523179773011</v>
      </c>
      <c r="DS32">
        <v>1</v>
      </c>
      <c r="DT32">
        <v>2</v>
      </c>
      <c r="DU32">
        <v>2</v>
      </c>
      <c r="DV32" t="s">
        <v>372</v>
      </c>
      <c r="DW32">
        <v>3.45457</v>
      </c>
      <c r="DX32">
        <v>2.78058</v>
      </c>
      <c r="DY32">
        <v>0.0940134</v>
      </c>
      <c r="DZ32">
        <v>0.0955172</v>
      </c>
      <c r="EA32">
        <v>0.128188</v>
      </c>
      <c r="EB32">
        <v>0.121285</v>
      </c>
      <c r="EC32">
        <v>26994.3</v>
      </c>
      <c r="ED32">
        <v>30739.5</v>
      </c>
      <c r="EE32">
        <v>28964.2</v>
      </c>
      <c r="EF32">
        <v>34600.6</v>
      </c>
      <c r="EG32">
        <v>29184.6</v>
      </c>
      <c r="EH32">
        <v>37741.6</v>
      </c>
      <c r="EI32">
        <v>35620.4</v>
      </c>
      <c r="EJ32">
        <v>45785.9</v>
      </c>
      <c r="EK32">
        <v>2.1052</v>
      </c>
      <c r="EL32">
        <v>2.0784</v>
      </c>
      <c r="EM32">
        <v>0.0468642</v>
      </c>
      <c r="EN32">
        <v>0</v>
      </c>
      <c r="EO32">
        <v>31.9398</v>
      </c>
      <c r="EP32">
        <v>999.9</v>
      </c>
      <c r="EQ32">
        <v>67</v>
      </c>
      <c r="ER32">
        <v>30.8</v>
      </c>
      <c r="ES32">
        <v>29.6405</v>
      </c>
      <c r="ET32">
        <v>61.65</v>
      </c>
      <c r="EU32">
        <v>24.6514</v>
      </c>
      <c r="EV32">
        <v>2</v>
      </c>
      <c r="EW32">
        <v>0.288171</v>
      </c>
      <c r="EX32">
        <v>0</v>
      </c>
      <c r="EY32">
        <v>20.2879</v>
      </c>
      <c r="EZ32">
        <v>5.20606</v>
      </c>
      <c r="FA32">
        <v>11.974</v>
      </c>
      <c r="FB32">
        <v>4.9879</v>
      </c>
      <c r="FC32">
        <v>3.27125</v>
      </c>
      <c r="FD32">
        <v>3022</v>
      </c>
      <c r="FE32">
        <v>9999</v>
      </c>
      <c r="FF32">
        <v>9999</v>
      </c>
      <c r="FG32">
        <v>999.9</v>
      </c>
      <c r="FH32">
        <v>4.97274</v>
      </c>
      <c r="FI32">
        <v>1.86322</v>
      </c>
      <c r="FJ32">
        <v>1.8651</v>
      </c>
      <c r="FK32">
        <v>1.86356</v>
      </c>
      <c r="FL32">
        <v>1.86356</v>
      </c>
      <c r="FM32">
        <v>1.86401</v>
      </c>
      <c r="FN32">
        <v>1.8605</v>
      </c>
      <c r="FO32">
        <v>1.86326</v>
      </c>
      <c r="FP32">
        <v>0</v>
      </c>
      <c r="FQ32">
        <v>0</v>
      </c>
      <c r="FR32">
        <v>0</v>
      </c>
      <c r="FS32">
        <v>0</v>
      </c>
      <c r="FT32" t="s">
        <v>356</v>
      </c>
      <c r="FU32" t="s">
        <v>357</v>
      </c>
      <c r="FV32" t="s">
        <v>358</v>
      </c>
      <c r="FW32" t="s">
        <v>358</v>
      </c>
      <c r="FX32" t="s">
        <v>358</v>
      </c>
      <c r="FY32" t="s">
        <v>358</v>
      </c>
      <c r="FZ32">
        <v>0</v>
      </c>
      <c r="GA32">
        <v>100</v>
      </c>
      <c r="GB32">
        <v>100</v>
      </c>
      <c r="GC32">
        <v>1.857</v>
      </c>
      <c r="GD32">
        <v>0.4741</v>
      </c>
      <c r="GE32">
        <v>2.213552660226202</v>
      </c>
      <c r="GF32">
        <v>-0.001033730503750798</v>
      </c>
      <c r="GG32">
        <v>9.120241388950126E-07</v>
      </c>
      <c r="GH32">
        <v>-2.246115299815222E-10</v>
      </c>
      <c r="GI32">
        <v>-0.1968274097000157</v>
      </c>
      <c r="GJ32">
        <v>-0.01814858093373864</v>
      </c>
      <c r="GK32">
        <v>0.002091959988359369</v>
      </c>
      <c r="GL32">
        <v>-1.90871700788604E-05</v>
      </c>
      <c r="GM32">
        <v>2</v>
      </c>
      <c r="GN32">
        <v>2210</v>
      </c>
      <c r="GO32">
        <v>1</v>
      </c>
      <c r="GP32">
        <v>26</v>
      </c>
      <c r="GQ32">
        <v>8.199999999999999</v>
      </c>
      <c r="GR32">
        <v>8.199999999999999</v>
      </c>
      <c r="GS32">
        <v>1.27686</v>
      </c>
      <c r="GT32">
        <v>2.41455</v>
      </c>
      <c r="GU32">
        <v>2.34741</v>
      </c>
      <c r="GV32">
        <v>2.72949</v>
      </c>
      <c r="GW32">
        <v>2.39868</v>
      </c>
      <c r="GX32">
        <v>2.30957</v>
      </c>
      <c r="GY32">
        <v>36.9556</v>
      </c>
      <c r="GZ32">
        <v>13.4753</v>
      </c>
      <c r="HA32">
        <v>18</v>
      </c>
      <c r="HB32">
        <v>582.408</v>
      </c>
      <c r="HC32">
        <v>604.049</v>
      </c>
      <c r="HD32">
        <v>32.7742</v>
      </c>
      <c r="HE32">
        <v>31.5569</v>
      </c>
      <c r="HF32">
        <v>30.0006</v>
      </c>
      <c r="HG32">
        <v>31.2701</v>
      </c>
      <c r="HH32">
        <v>31.1981</v>
      </c>
      <c r="HI32">
        <v>25.6125</v>
      </c>
      <c r="HJ32">
        <v>21.1664</v>
      </c>
      <c r="HK32">
        <v>100</v>
      </c>
      <c r="HL32">
        <v>-999.9</v>
      </c>
      <c r="HM32">
        <v>405</v>
      </c>
      <c r="HN32">
        <v>25.7803</v>
      </c>
      <c r="HO32">
        <v>99.3937</v>
      </c>
      <c r="HP32">
        <v>99.988</v>
      </c>
    </row>
    <row r="33" spans="1:224">
      <c r="A33">
        <v>17</v>
      </c>
      <c r="B33">
        <v>1750873916.5</v>
      </c>
      <c r="C33">
        <v>2490.900000095367</v>
      </c>
      <c r="D33" t="s">
        <v>405</v>
      </c>
      <c r="E33" t="s">
        <v>406</v>
      </c>
      <c r="F33">
        <v>15</v>
      </c>
      <c r="G33">
        <v>1750873908.5</v>
      </c>
      <c r="H33">
        <f>(I33)/1000</f>
        <v>0</v>
      </c>
      <c r="I33">
        <f>IF(BD33, AL33, AF33)</f>
        <v>0</v>
      </c>
      <c r="J33">
        <f>IF(BD33, AG33, AE33)</f>
        <v>0</v>
      </c>
      <c r="K33">
        <f>BF33 - IF(AS33&gt;1, J33*AZ33*100.0/(AU33), 0)</f>
        <v>0</v>
      </c>
      <c r="L33">
        <f>((R33-H33/2)*K33-J33)/(R33+H33/2)</f>
        <v>0</v>
      </c>
      <c r="M33">
        <f>L33*(BM33+BN33)/1000.0</f>
        <v>0</v>
      </c>
      <c r="N33">
        <f>(BF33 - IF(AS33&gt;1, J33*AZ33*100.0/(AU33), 0))*(BM33+BN33)/1000.0</f>
        <v>0</v>
      </c>
      <c r="O33">
        <f>2.0/((1/Q33-1/P33)+SIGN(Q33)*SQRT((1/Q33-1/P33)*(1/Q33-1/P33) + 4*BA33/((BA33+1)*(BA33+1))*(2*1/Q33*1/P33-1/P33*1/P33)))</f>
        <v>0</v>
      </c>
      <c r="P33">
        <f>IF(LEFT(BB33,1)&lt;&gt;"0",IF(LEFT(BB33,1)="1",3.0,BC33),$D$5+$E$5*(BT33*BM33/($K$5*1000))+$F$5*(BT33*BM33/($K$5*1000))*MAX(MIN(AZ33,$J$5),$I$5)*MAX(MIN(AZ33,$J$5),$I$5)+$G$5*MAX(MIN(AZ33,$J$5),$I$5)*(BT33*BM33/($K$5*1000))+$H$5*(BT33*BM33/($K$5*1000))*(BT33*BM33/($K$5*1000)))</f>
        <v>0</v>
      </c>
      <c r="Q33">
        <f>H33*(1000-(1000*0.61365*exp(17.502*U33/(240.97+U33))/(BM33+BN33)+BH33)/2)/(1000*0.61365*exp(17.502*U33/(240.97+U33))/(BM33+BN33)-BH33)</f>
        <v>0</v>
      </c>
      <c r="R33">
        <f>1/((BA33+1)/(O33/1.6)+1/(P33/1.37)) + BA33/((BA33+1)/(O33/1.6) + BA33/(P33/1.37))</f>
        <v>0</v>
      </c>
      <c r="S33">
        <f>(AV33*AY33)</f>
        <v>0</v>
      </c>
      <c r="T33">
        <f>(BO33+(S33+2*0.95*5.67E-8*(((BO33+$B$7)+273)^4-(BO33+273)^4)-44100*H33)/(1.84*29.3*P33+8*0.95*5.67E-8*(BO33+273)^3))</f>
        <v>0</v>
      </c>
      <c r="U33">
        <f>($C$7*BP33+$D$7*BQ33+$E$7*T33)</f>
        <v>0</v>
      </c>
      <c r="V33">
        <f>0.61365*exp(17.502*U33/(240.97+U33))</f>
        <v>0</v>
      </c>
      <c r="W33">
        <f>(X33/Y33*100)</f>
        <v>0</v>
      </c>
      <c r="X33">
        <f>BH33*(BM33+BN33)/1000</f>
        <v>0</v>
      </c>
      <c r="Y33">
        <f>0.61365*exp(17.502*BO33/(240.97+BO33))</f>
        <v>0</v>
      </c>
      <c r="Z33">
        <f>(V33-BH33*(BM33+BN33)/1000)</f>
        <v>0</v>
      </c>
      <c r="AA33">
        <f>(-H33*44100)</f>
        <v>0</v>
      </c>
      <c r="AB33">
        <f>2*29.3*P33*0.92*(BO33-U33)</f>
        <v>0</v>
      </c>
      <c r="AC33">
        <f>2*0.95*5.67E-8*(((BO33+$B$7)+273)^4-(U33+273)^4)</f>
        <v>0</v>
      </c>
      <c r="AD33">
        <f>S33+AC33+AA33+AB33</f>
        <v>0</v>
      </c>
      <c r="AE33">
        <f>BL33*AS33*(BG33-BF33*(1000-AS33*BI33)/(1000-AS33*BH33))/(100*AZ33)</f>
        <v>0</v>
      </c>
      <c r="AF33">
        <f>1000*BL33*AS33*(BH33-BI33)/(100*AZ33*(1000-AS33*BH33))</f>
        <v>0</v>
      </c>
      <c r="AG33">
        <f>(AH33 - AI33 - BM33*1E3/(8.314*(BO33+273.15)) * AK33/BL33 * AJ33) * BL33/(100*AZ33) * (1000 - BI33)/1000</f>
        <v>0</v>
      </c>
      <c r="AH33">
        <v>415.7598290275557</v>
      </c>
      <c r="AI33">
        <v>440.4945818181819</v>
      </c>
      <c r="AJ33">
        <v>6.527614157018429E-06</v>
      </c>
      <c r="AK33">
        <v>66.9405647763077</v>
      </c>
      <c r="AL33">
        <f>(AN33 - AM33 + BM33*1E3/(8.314*(BO33+273.15)) * AP33/BL33 * AO33) * BL33/(100*AZ33) * 1000/(1000 - AN33)</f>
        <v>0</v>
      </c>
      <c r="AM33">
        <v>25.93764124049805</v>
      </c>
      <c r="AN33">
        <v>18.57737696969697</v>
      </c>
      <c r="AO33">
        <v>0.008034062137124423</v>
      </c>
      <c r="AP33">
        <v>79.91365199257673</v>
      </c>
      <c r="AQ33">
        <v>802</v>
      </c>
      <c r="AR33">
        <v>100</v>
      </c>
      <c r="AS33">
        <f>IF(AQ33*$H$13&gt;=AU33,1.0,(AU33/(AU33-AQ33*$H$13)))</f>
        <v>0</v>
      </c>
      <c r="AT33">
        <f>(AS33-1)*100</f>
        <v>0</v>
      </c>
      <c r="AU33">
        <f>MAX(0,($B$13+$C$13*BT33)/(1+$D$13*BT33)*BM33/(BO33+273)*$E$13)</f>
        <v>0</v>
      </c>
      <c r="AV33">
        <f>$B$11*BU33+$C$11*BV33+$F$11*CG33*(1-CJ33)</f>
        <v>0</v>
      </c>
      <c r="AW33">
        <f>AV33*AX33</f>
        <v>0</v>
      </c>
      <c r="AX33">
        <f>($B$11*$D$9+$C$11*$D$9+$F$11*((CT33+CL33)/MAX(CT33+CL33+CU33, 0.1)*$I$9+CU33/MAX(CT33+CL33+CU33, 0.1)*$J$9))/($B$11+$C$11+$F$11)</f>
        <v>0</v>
      </c>
      <c r="AY33">
        <f>($B$11*$K$9+$C$11*$K$9+$F$11*((CT33+CL33)/MAX(CT33+CL33+CU33, 0.1)*$P$9+CU33/MAX(CT33+CL33+CU33, 0.1)*$Q$9))/($B$11+$C$11+$F$11)</f>
        <v>0</v>
      </c>
      <c r="AZ33">
        <v>6</v>
      </c>
      <c r="BA33">
        <v>0.5</v>
      </c>
      <c r="BB33" t="s">
        <v>353</v>
      </c>
      <c r="BC33">
        <v>2</v>
      </c>
      <c r="BD33" t="b">
        <v>0</v>
      </c>
      <c r="BE33">
        <v>1750873908.5</v>
      </c>
      <c r="BF33">
        <v>432.3115483870968</v>
      </c>
      <c r="BG33">
        <v>404.9914193548387</v>
      </c>
      <c r="BH33">
        <v>18.83548387096775</v>
      </c>
      <c r="BI33">
        <v>25.92864838709677</v>
      </c>
      <c r="BJ33">
        <v>430.4648064516128</v>
      </c>
      <c r="BK33">
        <v>18.45648387096774</v>
      </c>
      <c r="BL33">
        <v>799.9984516129031</v>
      </c>
      <c r="BM33">
        <v>100.820935483871</v>
      </c>
      <c r="BN33">
        <v>0.04988454193548387</v>
      </c>
      <c r="BO33">
        <v>33.35905161290322</v>
      </c>
      <c r="BP33">
        <v>33.08623870967742</v>
      </c>
      <c r="BQ33">
        <v>999.9000000000003</v>
      </c>
      <c r="BR33">
        <v>0</v>
      </c>
      <c r="BS33">
        <v>0</v>
      </c>
      <c r="BT33">
        <v>9999.253225806451</v>
      </c>
      <c r="BU33">
        <v>0</v>
      </c>
      <c r="BV33">
        <v>0.00152894</v>
      </c>
      <c r="BW33">
        <v>27.32013548387097</v>
      </c>
      <c r="BX33">
        <v>440.4678064516129</v>
      </c>
      <c r="BY33">
        <v>415.7717741935484</v>
      </c>
      <c r="BZ33">
        <v>-7.411342258064518</v>
      </c>
      <c r="CA33">
        <v>404.9914193548387</v>
      </c>
      <c r="CB33">
        <v>25.92864838709677</v>
      </c>
      <c r="CC33">
        <v>1.866933548387097</v>
      </c>
      <c r="CD33">
        <v>2.614152258064516</v>
      </c>
      <c r="CE33">
        <v>16.35873870967742</v>
      </c>
      <c r="CF33">
        <v>21.75522580645161</v>
      </c>
      <c r="CG33">
        <v>999.9900967741934</v>
      </c>
      <c r="CH33">
        <v>0.9600153870967745</v>
      </c>
      <c r="CI33">
        <v>0.0399849064516129</v>
      </c>
      <c r="CJ33">
        <v>0</v>
      </c>
      <c r="CK33">
        <v>1.845</v>
      </c>
      <c r="CL33">
        <v>0</v>
      </c>
      <c r="CM33">
        <v>6631.766129032259</v>
      </c>
      <c r="CN33">
        <v>7946.893225806451</v>
      </c>
      <c r="CO33">
        <v>38.5</v>
      </c>
      <c r="CP33">
        <v>41.43699999999998</v>
      </c>
      <c r="CQ33">
        <v>39.60467741935482</v>
      </c>
      <c r="CR33">
        <v>40.93699999999998</v>
      </c>
      <c r="CS33">
        <v>39.25</v>
      </c>
      <c r="CT33">
        <v>960.0067741935485</v>
      </c>
      <c r="CU33">
        <v>39.98354838709677</v>
      </c>
      <c r="CV33">
        <v>0</v>
      </c>
      <c r="CW33">
        <v>1750873933.6</v>
      </c>
      <c r="CX33">
        <v>0</v>
      </c>
      <c r="CY33">
        <v>1750873942.5</v>
      </c>
      <c r="CZ33" t="s">
        <v>407</v>
      </c>
      <c r="DA33">
        <v>1750873743.5</v>
      </c>
      <c r="DB33">
        <v>1750873942.5</v>
      </c>
      <c r="DC33">
        <v>16</v>
      </c>
      <c r="DD33">
        <v>-0.073</v>
      </c>
      <c r="DE33">
        <v>-0.011</v>
      </c>
      <c r="DF33">
        <v>1.857</v>
      </c>
      <c r="DG33">
        <v>0.379</v>
      </c>
      <c r="DH33">
        <v>405</v>
      </c>
      <c r="DI33">
        <v>26</v>
      </c>
      <c r="DJ33">
        <v>0.35</v>
      </c>
      <c r="DK33">
        <v>0.01</v>
      </c>
      <c r="DL33">
        <v>27.31496097560975</v>
      </c>
      <c r="DM33">
        <v>0.1298383275262187</v>
      </c>
      <c r="DN33">
        <v>0.02266462676430524</v>
      </c>
      <c r="DO33">
        <v>0</v>
      </c>
      <c r="DP33">
        <v>-7.431117804878048</v>
      </c>
      <c r="DQ33">
        <v>0.4436554703832775</v>
      </c>
      <c r="DR33">
        <v>0.04468259586494741</v>
      </c>
      <c r="DS33">
        <v>0</v>
      </c>
      <c r="DT33">
        <v>0</v>
      </c>
      <c r="DU33">
        <v>2</v>
      </c>
      <c r="DV33" t="s">
        <v>355</v>
      </c>
      <c r="DW33">
        <v>3.45463</v>
      </c>
      <c r="DX33">
        <v>2.73098</v>
      </c>
      <c r="DY33">
        <v>0.0999229</v>
      </c>
      <c r="DZ33">
        <v>0.0954721</v>
      </c>
      <c r="EA33">
        <v>0.0974936</v>
      </c>
      <c r="EB33">
        <v>0.122192</v>
      </c>
      <c r="EC33">
        <v>26813.3</v>
      </c>
      <c r="ED33">
        <v>30737</v>
      </c>
      <c r="EE33">
        <v>28959.9</v>
      </c>
      <c r="EF33">
        <v>34596.9</v>
      </c>
      <c r="EG33">
        <v>30214.9</v>
      </c>
      <c r="EH33">
        <v>37699.2</v>
      </c>
      <c r="EI33">
        <v>35617.9</v>
      </c>
      <c r="EJ33">
        <v>45781.5</v>
      </c>
      <c r="EK33">
        <v>0.304</v>
      </c>
      <c r="EL33">
        <v>2.07355</v>
      </c>
      <c r="EM33">
        <v>0.06895510000000001</v>
      </c>
      <c r="EN33">
        <v>0</v>
      </c>
      <c r="EO33">
        <v>31.9836</v>
      </c>
      <c r="EP33">
        <v>999.9</v>
      </c>
      <c r="EQ33">
        <v>66.2</v>
      </c>
      <c r="ER33">
        <v>31.2</v>
      </c>
      <c r="ES33">
        <v>29.9609</v>
      </c>
      <c r="ET33">
        <v>61.84</v>
      </c>
      <c r="EU33">
        <v>21.5024</v>
      </c>
      <c r="EV33">
        <v>2</v>
      </c>
      <c r="EW33">
        <v>0.298539</v>
      </c>
      <c r="EX33">
        <v>0</v>
      </c>
      <c r="EY33">
        <v>20.2884</v>
      </c>
      <c r="EZ33">
        <v>5.2113</v>
      </c>
      <c r="FA33">
        <v>11.974</v>
      </c>
      <c r="FB33">
        <v>4.9911</v>
      </c>
      <c r="FC33">
        <v>3.272</v>
      </c>
      <c r="FD33">
        <v>3028</v>
      </c>
      <c r="FE33">
        <v>9999</v>
      </c>
      <c r="FF33">
        <v>9999</v>
      </c>
      <c r="FG33">
        <v>999.9</v>
      </c>
      <c r="FH33">
        <v>4.97267</v>
      </c>
      <c r="FI33">
        <v>1.86323</v>
      </c>
      <c r="FJ33">
        <v>1.86509</v>
      </c>
      <c r="FK33">
        <v>1.86358</v>
      </c>
      <c r="FL33">
        <v>1.86356</v>
      </c>
      <c r="FM33">
        <v>1.86401</v>
      </c>
      <c r="FN33">
        <v>1.8605</v>
      </c>
      <c r="FO33">
        <v>1.86325</v>
      </c>
      <c r="FP33">
        <v>0</v>
      </c>
      <c r="FQ33">
        <v>0</v>
      </c>
      <c r="FR33">
        <v>0</v>
      </c>
      <c r="FS33">
        <v>0</v>
      </c>
      <c r="FT33" t="s">
        <v>356</v>
      </c>
      <c r="FU33" t="s">
        <v>357</v>
      </c>
      <c r="FV33" t="s">
        <v>358</v>
      </c>
      <c r="FW33" t="s">
        <v>358</v>
      </c>
      <c r="FX33" t="s">
        <v>358</v>
      </c>
      <c r="FY33" t="s">
        <v>358</v>
      </c>
      <c r="FZ33">
        <v>0</v>
      </c>
      <c r="GA33">
        <v>100</v>
      </c>
      <c r="GB33">
        <v>100</v>
      </c>
      <c r="GC33">
        <v>1.847</v>
      </c>
      <c r="GD33">
        <v>0.379</v>
      </c>
      <c r="GE33">
        <v>2.140669416249361</v>
      </c>
      <c r="GF33">
        <v>-0.001033730503750798</v>
      </c>
      <c r="GG33">
        <v>9.120241388950126E-07</v>
      </c>
      <c r="GH33">
        <v>-2.246115299815222E-10</v>
      </c>
      <c r="GI33">
        <v>-0.1968274097000157</v>
      </c>
      <c r="GJ33">
        <v>-0.01814858093373864</v>
      </c>
      <c r="GK33">
        <v>0.002091959988359369</v>
      </c>
      <c r="GL33">
        <v>-1.90871700788604E-05</v>
      </c>
      <c r="GM33">
        <v>2</v>
      </c>
      <c r="GN33">
        <v>2210</v>
      </c>
      <c r="GO33">
        <v>1</v>
      </c>
      <c r="GP33">
        <v>26</v>
      </c>
      <c r="GQ33">
        <v>2.9</v>
      </c>
      <c r="GR33">
        <v>11.4</v>
      </c>
      <c r="GS33">
        <v>1.2793</v>
      </c>
      <c r="GT33">
        <v>2.4231</v>
      </c>
      <c r="GU33">
        <v>2.34741</v>
      </c>
      <c r="GV33">
        <v>2.72583</v>
      </c>
      <c r="GW33">
        <v>2.39868</v>
      </c>
      <c r="GX33">
        <v>2.30225</v>
      </c>
      <c r="GY33">
        <v>37.1702</v>
      </c>
      <c r="GZ33">
        <v>13.4403</v>
      </c>
      <c r="HA33">
        <v>18</v>
      </c>
      <c r="HB33">
        <v>-0.0758141</v>
      </c>
      <c r="HC33">
        <v>601.886</v>
      </c>
      <c r="HD33">
        <v>32.9683</v>
      </c>
      <c r="HE33">
        <v>31.7227</v>
      </c>
      <c r="HF33">
        <v>30.0003</v>
      </c>
      <c r="HG33">
        <v>31.6957</v>
      </c>
      <c r="HH33">
        <v>31.363</v>
      </c>
      <c r="HI33">
        <v>25.6471</v>
      </c>
      <c r="HJ33">
        <v>21.1899</v>
      </c>
      <c r="HK33">
        <v>100</v>
      </c>
      <c r="HL33">
        <v>-999.9</v>
      </c>
      <c r="HM33">
        <v>405</v>
      </c>
      <c r="HN33">
        <v>25.9279</v>
      </c>
      <c r="HO33">
        <v>99.3832</v>
      </c>
      <c r="HP33">
        <v>99.97790000000001</v>
      </c>
    </row>
    <row r="34" spans="1:224">
      <c r="A34">
        <v>18</v>
      </c>
      <c r="B34">
        <v>1750874097.1</v>
      </c>
      <c r="C34">
        <v>2671.5</v>
      </c>
      <c r="D34" t="s">
        <v>408</v>
      </c>
      <c r="E34" t="s">
        <v>409</v>
      </c>
      <c r="F34">
        <v>15</v>
      </c>
      <c r="G34">
        <v>1750874089.099999</v>
      </c>
      <c r="H34">
        <f>(I34)/1000</f>
        <v>0</v>
      </c>
      <c r="I34">
        <f>IF(BD34, AL34, AF34)</f>
        <v>0</v>
      </c>
      <c r="J34">
        <f>IF(BD34, AG34, AE34)</f>
        <v>0</v>
      </c>
      <c r="K34">
        <f>BF34 - IF(AS34&gt;1, J34*AZ34*100.0/(AU34), 0)</f>
        <v>0</v>
      </c>
      <c r="L34">
        <f>((R34-H34/2)*K34-J34)/(R34+H34/2)</f>
        <v>0</v>
      </c>
      <c r="M34">
        <f>L34*(BM34+BN34)/1000.0</f>
        <v>0</v>
      </c>
      <c r="N34">
        <f>(BF34 - IF(AS34&gt;1, J34*AZ34*100.0/(AU34), 0))*(BM34+BN34)/1000.0</f>
        <v>0</v>
      </c>
      <c r="O34">
        <f>2.0/((1/Q34-1/P34)+SIGN(Q34)*SQRT((1/Q34-1/P34)*(1/Q34-1/P34) + 4*BA34/((BA34+1)*(BA34+1))*(2*1/Q34*1/P34-1/P34*1/P34)))</f>
        <v>0</v>
      </c>
      <c r="P34">
        <f>IF(LEFT(BB34,1)&lt;&gt;"0",IF(LEFT(BB34,1)="1",3.0,BC34),$D$5+$E$5*(BT34*BM34/($K$5*1000))+$F$5*(BT34*BM34/($K$5*1000))*MAX(MIN(AZ34,$J$5),$I$5)*MAX(MIN(AZ34,$J$5),$I$5)+$G$5*MAX(MIN(AZ34,$J$5),$I$5)*(BT34*BM34/($K$5*1000))+$H$5*(BT34*BM34/($K$5*1000))*(BT34*BM34/($K$5*1000)))</f>
        <v>0</v>
      </c>
      <c r="Q34">
        <f>H34*(1000-(1000*0.61365*exp(17.502*U34/(240.97+U34))/(BM34+BN34)+BH34)/2)/(1000*0.61365*exp(17.502*U34/(240.97+U34))/(BM34+BN34)-BH34)</f>
        <v>0</v>
      </c>
      <c r="R34">
        <f>1/((BA34+1)/(O34/1.6)+1/(P34/1.37)) + BA34/((BA34+1)/(O34/1.6) + BA34/(P34/1.37))</f>
        <v>0</v>
      </c>
      <c r="S34">
        <f>(AV34*AY34)</f>
        <v>0</v>
      </c>
      <c r="T34">
        <f>(BO34+(S34+2*0.95*5.67E-8*(((BO34+$B$7)+273)^4-(BO34+273)^4)-44100*H34)/(1.84*29.3*P34+8*0.95*5.67E-8*(BO34+273)^3))</f>
        <v>0</v>
      </c>
      <c r="U34">
        <f>($C$7*BP34+$D$7*BQ34+$E$7*T34)</f>
        <v>0</v>
      </c>
      <c r="V34">
        <f>0.61365*exp(17.502*U34/(240.97+U34))</f>
        <v>0</v>
      </c>
      <c r="W34">
        <f>(X34/Y34*100)</f>
        <v>0</v>
      </c>
      <c r="X34">
        <f>BH34*(BM34+BN34)/1000</f>
        <v>0</v>
      </c>
      <c r="Y34">
        <f>0.61365*exp(17.502*BO34/(240.97+BO34))</f>
        <v>0</v>
      </c>
      <c r="Z34">
        <f>(V34-BH34*(BM34+BN34)/1000)</f>
        <v>0</v>
      </c>
      <c r="AA34">
        <f>(-H34*44100)</f>
        <v>0</v>
      </c>
      <c r="AB34">
        <f>2*29.3*P34*0.92*(BO34-U34)</f>
        <v>0</v>
      </c>
      <c r="AC34">
        <f>2*0.95*5.67E-8*(((BO34+$B$7)+273)^4-(U34+273)^4)</f>
        <v>0</v>
      </c>
      <c r="AD34">
        <f>S34+AC34+AA34+AB34</f>
        <v>0</v>
      </c>
      <c r="AE34">
        <f>BL34*AS34*(BG34-BF34*(1000-AS34*BI34)/(1000-AS34*BH34))/(100*AZ34)</f>
        <v>0</v>
      </c>
      <c r="AF34">
        <f>1000*BL34*AS34*(BH34-BI34)/(100*AZ34*(1000-AS34*BH34))</f>
        <v>0</v>
      </c>
      <c r="AG34">
        <f>(AH34 - AI34 - BM34*1E3/(8.314*(BO34+273.15)) * AK34/BL34 * AJ34) * BL34/(100*AZ34) * (1000 - BI34)/1000</f>
        <v>0</v>
      </c>
      <c r="AH34">
        <v>416.3594427489179</v>
      </c>
      <c r="AI34">
        <v>413.391921212121</v>
      </c>
      <c r="AJ34">
        <v>9.0276600587656E-05</v>
      </c>
      <c r="AK34">
        <v>66.94</v>
      </c>
      <c r="AL34">
        <f>(AN34 - AM34 + BM34*1E3/(8.314*(BO34+273.15)) * AP34/BL34 * AO34) * BL34/(100*AZ34) * 1000/(1000 - AN34)</f>
        <v>0</v>
      </c>
      <c r="AM34">
        <v>27.38803888132137</v>
      </c>
      <c r="AN34">
        <v>28.26150242424244</v>
      </c>
      <c r="AO34">
        <v>4.000921304737755E-05</v>
      </c>
      <c r="AP34">
        <v>79.83345212787933</v>
      </c>
      <c r="AQ34">
        <v>27</v>
      </c>
      <c r="AR34">
        <v>3</v>
      </c>
      <c r="AS34">
        <f>IF(AQ34*$H$13&gt;=AU34,1.0,(AU34/(AU34-AQ34*$H$13)))</f>
        <v>0</v>
      </c>
      <c r="AT34">
        <f>(AS34-1)*100</f>
        <v>0</v>
      </c>
      <c r="AU34">
        <f>MAX(0,($B$13+$C$13*BT34)/(1+$D$13*BT34)*BM34/(BO34+273)*$E$13)</f>
        <v>0</v>
      </c>
      <c r="AV34">
        <f>$B$11*BU34+$C$11*BV34+$F$11*CG34*(1-CJ34)</f>
        <v>0</v>
      </c>
      <c r="AW34">
        <f>AV34*AX34</f>
        <v>0</v>
      </c>
      <c r="AX34">
        <f>($B$11*$D$9+$C$11*$D$9+$F$11*((CT34+CL34)/MAX(CT34+CL34+CU34, 0.1)*$I$9+CU34/MAX(CT34+CL34+CU34, 0.1)*$J$9))/($B$11+$C$11+$F$11)</f>
        <v>0</v>
      </c>
      <c r="AY34">
        <f>($B$11*$K$9+$C$11*$K$9+$F$11*((CT34+CL34)/MAX(CT34+CL34+CU34, 0.1)*$P$9+CU34/MAX(CT34+CL34+CU34, 0.1)*$Q$9))/($B$11+$C$11+$F$11)</f>
        <v>0</v>
      </c>
      <c r="AZ34">
        <v>6</v>
      </c>
      <c r="BA34">
        <v>0.5</v>
      </c>
      <c r="BB34" t="s">
        <v>353</v>
      </c>
      <c r="BC34">
        <v>2</v>
      </c>
      <c r="BD34" t="b">
        <v>0</v>
      </c>
      <c r="BE34">
        <v>1750874089.099999</v>
      </c>
      <c r="BF34">
        <v>401.7211935483871</v>
      </c>
      <c r="BG34">
        <v>404.9788387096774</v>
      </c>
      <c r="BH34">
        <v>28.18052903225807</v>
      </c>
      <c r="BI34">
        <v>27.38448064516129</v>
      </c>
      <c r="BJ34">
        <v>399.8301935483871</v>
      </c>
      <c r="BK34">
        <v>27.75952903225807</v>
      </c>
      <c r="BL34">
        <v>799.9967419354837</v>
      </c>
      <c r="BM34">
        <v>100.8228064516129</v>
      </c>
      <c r="BN34">
        <v>0.0999168870967742</v>
      </c>
      <c r="BO34">
        <v>33.51132258064516</v>
      </c>
      <c r="BP34">
        <v>33.54137096774193</v>
      </c>
      <c r="BQ34">
        <v>999.9000000000003</v>
      </c>
      <c r="BR34">
        <v>0</v>
      </c>
      <c r="BS34">
        <v>0</v>
      </c>
      <c r="BT34">
        <v>9999.519354838711</v>
      </c>
      <c r="BU34">
        <v>0</v>
      </c>
      <c r="BV34">
        <v>0.0015536</v>
      </c>
      <c r="BW34">
        <v>-3.28983870967742</v>
      </c>
      <c r="BX34">
        <v>413.3673870967741</v>
      </c>
      <c r="BY34">
        <v>416.381129032258</v>
      </c>
      <c r="BZ34">
        <v>0.8673340967741936</v>
      </c>
      <c r="CA34">
        <v>404.9788387096774</v>
      </c>
      <c r="CB34">
        <v>27.38448064516129</v>
      </c>
      <c r="CC34">
        <v>2.848429032258064</v>
      </c>
      <c r="CD34">
        <v>2.760979677419355</v>
      </c>
      <c r="CE34">
        <v>23.16745161290322</v>
      </c>
      <c r="CF34">
        <v>22.65263548387097</v>
      </c>
      <c r="CG34">
        <v>999.9867419354837</v>
      </c>
      <c r="CH34">
        <v>0.9600149677419358</v>
      </c>
      <c r="CI34">
        <v>0.03998537741935485</v>
      </c>
      <c r="CJ34">
        <v>0</v>
      </c>
      <c r="CK34">
        <v>1.320806451612903</v>
      </c>
      <c r="CL34">
        <v>0</v>
      </c>
      <c r="CM34">
        <v>5921.517741935483</v>
      </c>
      <c r="CN34">
        <v>7946.862580645162</v>
      </c>
      <c r="CO34">
        <v>38.43699999999998</v>
      </c>
      <c r="CP34">
        <v>41.375</v>
      </c>
      <c r="CQ34">
        <v>39.57419354838708</v>
      </c>
      <c r="CR34">
        <v>40.81199999999998</v>
      </c>
      <c r="CS34">
        <v>39.26600000000001</v>
      </c>
      <c r="CT34">
        <v>960.0032258064514</v>
      </c>
      <c r="CU34">
        <v>39.98451612903226</v>
      </c>
      <c r="CV34">
        <v>0</v>
      </c>
      <c r="CW34">
        <v>1750874113.6</v>
      </c>
      <c r="CX34">
        <v>0</v>
      </c>
      <c r="CY34">
        <v>1750874118.1</v>
      </c>
      <c r="CZ34" t="s">
        <v>410</v>
      </c>
      <c r="DA34">
        <v>1750874113.1</v>
      </c>
      <c r="DB34">
        <v>1750874118.1</v>
      </c>
      <c r="DC34">
        <v>17</v>
      </c>
      <c r="DD34">
        <v>0.034</v>
      </c>
      <c r="DE34">
        <v>-0.03</v>
      </c>
      <c r="DF34">
        <v>1.891</v>
      </c>
      <c r="DG34">
        <v>0.421</v>
      </c>
      <c r="DH34">
        <v>405</v>
      </c>
      <c r="DI34">
        <v>27</v>
      </c>
      <c r="DJ34">
        <v>0.37</v>
      </c>
      <c r="DK34">
        <v>0.08</v>
      </c>
      <c r="DL34">
        <v>-3.293600975609756</v>
      </c>
      <c r="DM34">
        <v>0.1783227177700308</v>
      </c>
      <c r="DN34">
        <v>0.02702413400204308</v>
      </c>
      <c r="DO34">
        <v>0</v>
      </c>
      <c r="DP34">
        <v>0.8652603902439024</v>
      </c>
      <c r="DQ34">
        <v>0.04815907317072919</v>
      </c>
      <c r="DR34">
        <v>0.004823906340746588</v>
      </c>
      <c r="DS34">
        <v>1</v>
      </c>
      <c r="DT34">
        <v>1</v>
      </c>
      <c r="DU34">
        <v>2</v>
      </c>
      <c r="DV34" t="s">
        <v>365</v>
      </c>
      <c r="DW34">
        <v>3.4555</v>
      </c>
      <c r="DX34">
        <v>2.78109</v>
      </c>
      <c r="DY34">
        <v>0.0945776</v>
      </c>
      <c r="DZ34">
        <v>0.0954507</v>
      </c>
      <c r="EA34">
        <v>0.129891</v>
      </c>
      <c r="EB34">
        <v>0.126781</v>
      </c>
      <c r="EC34">
        <v>26967.8</v>
      </c>
      <c r="ED34">
        <v>30730.4</v>
      </c>
      <c r="EE34">
        <v>28954.6</v>
      </c>
      <c r="EF34">
        <v>34589.1</v>
      </c>
      <c r="EG34">
        <v>29119.6</v>
      </c>
      <c r="EH34">
        <v>37493.8</v>
      </c>
      <c r="EI34">
        <v>35609.5</v>
      </c>
      <c r="EJ34">
        <v>45771.1</v>
      </c>
      <c r="EK34">
        <v>2.3797</v>
      </c>
      <c r="EL34">
        <v>2.07205</v>
      </c>
      <c r="EM34">
        <v>0.0966191</v>
      </c>
      <c r="EN34">
        <v>0</v>
      </c>
      <c r="EO34">
        <v>31.9917</v>
      </c>
      <c r="EP34">
        <v>999.9</v>
      </c>
      <c r="EQ34">
        <v>65.5</v>
      </c>
      <c r="ER34">
        <v>31.6</v>
      </c>
      <c r="ES34">
        <v>30.326</v>
      </c>
      <c r="ET34">
        <v>61.3037</v>
      </c>
      <c r="EU34">
        <v>24.5633</v>
      </c>
      <c r="EV34">
        <v>2</v>
      </c>
      <c r="EW34">
        <v>0.308064</v>
      </c>
      <c r="EX34">
        <v>0</v>
      </c>
      <c r="EY34">
        <v>20.2882</v>
      </c>
      <c r="EZ34">
        <v>5.2107</v>
      </c>
      <c r="FA34">
        <v>11.974</v>
      </c>
      <c r="FB34">
        <v>4.9894</v>
      </c>
      <c r="FC34">
        <v>3.27192</v>
      </c>
      <c r="FD34">
        <v>3033.2</v>
      </c>
      <c r="FE34">
        <v>9999</v>
      </c>
      <c r="FF34">
        <v>9999</v>
      </c>
      <c r="FG34">
        <v>999.9</v>
      </c>
      <c r="FH34">
        <v>4.97271</v>
      </c>
      <c r="FI34">
        <v>1.86325</v>
      </c>
      <c r="FJ34">
        <v>1.86521</v>
      </c>
      <c r="FK34">
        <v>1.86369</v>
      </c>
      <c r="FL34">
        <v>1.86356</v>
      </c>
      <c r="FM34">
        <v>1.8641</v>
      </c>
      <c r="FN34">
        <v>1.86052</v>
      </c>
      <c r="FO34">
        <v>1.86335</v>
      </c>
      <c r="FP34">
        <v>0</v>
      </c>
      <c r="FQ34">
        <v>0</v>
      </c>
      <c r="FR34">
        <v>0</v>
      </c>
      <c r="FS34">
        <v>0</v>
      </c>
      <c r="FT34" t="s">
        <v>356</v>
      </c>
      <c r="FU34" t="s">
        <v>357</v>
      </c>
      <c r="FV34" t="s">
        <v>358</v>
      </c>
      <c r="FW34" t="s">
        <v>358</v>
      </c>
      <c r="FX34" t="s">
        <v>358</v>
      </c>
      <c r="FY34" t="s">
        <v>358</v>
      </c>
      <c r="FZ34">
        <v>0</v>
      </c>
      <c r="GA34">
        <v>100</v>
      </c>
      <c r="GB34">
        <v>100</v>
      </c>
      <c r="GC34">
        <v>1.891</v>
      </c>
      <c r="GD34">
        <v>0.421</v>
      </c>
      <c r="GE34">
        <v>2.140669416249361</v>
      </c>
      <c r="GF34">
        <v>-0.001033730503750798</v>
      </c>
      <c r="GG34">
        <v>9.120241388950126E-07</v>
      </c>
      <c r="GH34">
        <v>-2.246115299815222E-10</v>
      </c>
      <c r="GI34">
        <v>-0.2076731220303502</v>
      </c>
      <c r="GJ34">
        <v>-0.01814858093373864</v>
      </c>
      <c r="GK34">
        <v>0.002091959988359369</v>
      </c>
      <c r="GL34">
        <v>-1.90871700788604E-05</v>
      </c>
      <c r="GM34">
        <v>2</v>
      </c>
      <c r="GN34">
        <v>2210</v>
      </c>
      <c r="GO34">
        <v>1</v>
      </c>
      <c r="GP34">
        <v>26</v>
      </c>
      <c r="GQ34">
        <v>5.9</v>
      </c>
      <c r="GR34">
        <v>2.6</v>
      </c>
      <c r="GS34">
        <v>1.28052</v>
      </c>
      <c r="GT34">
        <v>2.4231</v>
      </c>
      <c r="GU34">
        <v>2.34741</v>
      </c>
      <c r="GV34">
        <v>2.72217</v>
      </c>
      <c r="GW34">
        <v>2.39868</v>
      </c>
      <c r="GX34">
        <v>2.30469</v>
      </c>
      <c r="GY34">
        <v>37.3858</v>
      </c>
      <c r="GZ34">
        <v>13.3965</v>
      </c>
      <c r="HA34">
        <v>18</v>
      </c>
      <c r="HB34">
        <v>799.905</v>
      </c>
      <c r="HC34">
        <v>601.975</v>
      </c>
      <c r="HD34">
        <v>33.1133</v>
      </c>
      <c r="HE34">
        <v>31.8385</v>
      </c>
      <c r="HF34">
        <v>30</v>
      </c>
      <c r="HG34">
        <v>31.5552</v>
      </c>
      <c r="HH34">
        <v>31.4908</v>
      </c>
      <c r="HI34">
        <v>25.6963</v>
      </c>
      <c r="HJ34">
        <v>17.2256</v>
      </c>
      <c r="HK34">
        <v>100</v>
      </c>
      <c r="HL34">
        <v>-999.9</v>
      </c>
      <c r="HM34">
        <v>405</v>
      </c>
      <c r="HN34">
        <v>27.3859</v>
      </c>
      <c r="HO34">
        <v>99.3621</v>
      </c>
      <c r="HP34">
        <v>99.9552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2025-06-24T17:45:09Z</dcterms:created>
  <dcterms:modified xsi:type="dcterms:W3CDTF">2025-06-24T17:45:09Z</dcterms:modified>
</cp:coreProperties>
</file>